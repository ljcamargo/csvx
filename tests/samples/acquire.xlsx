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<sst xmlns="http://schemas.openxmlformats.org/spreadsheetml/2006/main" count="31" uniqueCount="31">
  <si>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Recurring Revenue</t>
  </si>
  <si>
    <t>Service Revenue</t>
  </si>
  <si>
    <t>Refunds</t>
  </si>
  <si>
    <t>Dispute Fees</t>
  </si>
  <si>
    <t>Your products or Revenue types go here</t>
  </si>
  <si>
    <t>GROSS REVENUE</t>
  </si>
  <si>
    <t>Costs of Goods Sold</t>
  </si>
  <si>
    <t>Processing Fees (if not dedicated in Revenue)</t>
  </si>
  <si>
    <t>Customer Support Costs</t>
  </si>
  <si>
    <t>Hosting</t>
  </si>
  <si>
    <t xml:space="preserve"> - Heroku</t>
  </si>
  <si>
    <t xml:space="preserve"> - AWS</t>
  </si>
  <si>
    <t xml:space="preserve"> - Blog</t>
  </si>
  <si>
    <t>Total COGS</t>
  </si>
  <si>
    <t>Gross Profit</t>
  </si>
  <si>
    <t>Expenses</t>
  </si>
  <si>
    <t>Subscriptions</t>
  </si>
  <si>
    <t xml:space="preserve"> - Intercom</t>
  </si>
  <si>
    <t xml:space="preserve"> - OpenTok</t>
  </si>
  <si>
    <t xml:space="preserve"> - DNS Simple</t>
  </si>
  <si>
    <t>- IMIGX (image hosting)</t>
  </si>
  <si>
    <t>Developer(s)</t>
  </si>
  <si>
    <t>Customer Support(s)</t>
  </si>
  <si>
    <t>Marketing/Ads</t>
  </si>
  <si>
    <t>Your chart of accounts goes here</t>
  </si>
  <si>
    <t>Others</t>
  </si>
  <si>
    <t>Total Operation Expense</t>
  </si>
  <si>
    <t>Total Income from Operations</t>
  </si>
  <si>
    <t>Other Income</t>
  </si>
  <si>
    <t>Other Expense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</si>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</sst>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&quot;$&quot;* #,##0.00&quot; &quot;;&quot; &quot;&quot;$&quot;* \(#,##0.00\);&quot; &quot;&quot;$&quot;* &quot;-&quot;??&quot; &quot;"/>
    <numFmt numFmtId="165" formatCode="_(&quot;$&quot;* #,##0.00_);_(&quot;$&quot;* \(#,##0.00\);_(&quot;$&quot;* &quot;-&quot;??_);_(@_)"/>
  </numFmts>
  <fonts count="4">
    <font>
      <sz val="12.0"/>
      <color rgb="FF000000"/>
      <name val="Helvetica Neue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000000"/>
      <name val="Docs-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17" xfId="0" applyAlignment="1" applyBorder="1" applyFill="1" applyFont="1" applyNumberFormat="1">
      <alignment readingOrder="0"/>
    </xf>
    <xf borderId="3" fillId="2" fontId="2" numFmtId="17" xfId="0" applyAlignment="1" applyBorder="1" applyFill="1" applyFont="1" applyNumberFormat="1">
      <alignment readingOrder="0"/>
    </xf>
    <xf borderId="0" fillId="0" fontId="1" numFmtId="0" xfId="0" applyFont="1"/>
    <xf borderId="4" fillId="0" fontId="1" numFmtId="49" xfId="0" applyAlignment="1" applyBorder="1" applyFont="1" applyNumberFormat="1">
      <alignment readingOrder="0"/>
    </xf>
    <xf borderId="4" fillId="0" fontId="1" numFmtId="164" xfId="0" applyBorder="1" applyFont="1" applyNumberFormat="1"/>
    <xf borderId="4" fillId="0" fontId="1" numFmtId="164" xfId="0" applyAlignment="1" applyBorder="1" applyFont="1" applyNumberFormat="1">
      <alignment readingOrder="0"/>
    </xf>
    <xf borderId="5" fillId="0" fontId="1" numFmtId="49" xfId="0" applyAlignment="1" applyBorder="1" applyFont="1" applyNumberFormat="1">
      <alignment readingOrder="0"/>
    </xf>
    <xf borderId="5" fillId="0" fontId="1" numFmtId="164" xfId="0" applyBorder="1" applyFont="1" applyNumberFormat="1"/>
    <xf borderId="5" fillId="3" fontId="1" numFmtId="49" xfId="0" applyAlignment="1" applyBorder="1" applyFill="1" applyFont="1" applyNumberFormat="1">
      <alignment shrinkToFit="0" wrapText="1"/>
    </xf>
    <xf borderId="6" fillId="3" fontId="1" numFmtId="49" xfId="0" applyAlignment="1" applyBorder="1" applyFill="1" applyFont="1" applyNumberFormat="1">
      <alignment shrinkToFit="0" wrapText="1"/>
    </xf>
    <xf borderId="6" fillId="0" fontId="1" numFmtId="164" xfId="0" applyBorder="1" applyFont="1" applyNumberFormat="1"/>
    <xf borderId="1" fillId="4" fontId="2" numFmtId="49" xfId="0" applyAlignment="1" applyBorder="1" applyFill="1" applyFont="1" applyNumberFormat="1">
      <alignment horizontal="right"/>
    </xf>
    <xf borderId="3" fillId="4" fontId="1" numFmtId="164" xfId="0" applyBorder="1" applyFill="1" applyFont="1" applyNumberFormat="1"/>
    <xf borderId="7" fillId="4" fontId="1" numFmtId="164" xfId="0" applyBorder="1" applyFill="1" applyFont="1" applyNumberFormat="1"/>
    <xf borderId="4" fillId="0" fontId="1" numFmtId="0" xfId="0" applyBorder="1" applyFont="1"/>
    <xf borderId="0" fillId="2" fontId="3" numFmtId="49" xfId="0" applyAlignment="1" applyFill="1" applyFont="1" applyNumberFormat="1">
      <alignment horizontal="left" readingOrder="0"/>
    </xf>
    <xf borderId="8" fillId="2" fontId="2" numFmtId="49" xfId="0" applyAlignment="1" applyBorder="1" applyFill="1" applyFont="1" applyNumberFormat="1">
      <alignment horizontal="center"/>
    </xf>
    <xf borderId="9" fillId="2" fontId="2" numFmtId="49" xfId="0" applyAlignment="1" applyBorder="1" applyFill="1" applyFont="1" applyNumberFormat="1">
      <alignment horizontal="center"/>
    </xf>
    <xf borderId="5" fillId="0" fontId="1" numFmtId="49" xfId="0" applyBorder="1" applyFont="1" applyNumberFormat="1"/>
    <xf borderId="1" fillId="5" fontId="2" numFmtId="49" xfId="0" applyAlignment="1" applyBorder="1" applyFill="1" applyFont="1" applyNumberFormat="1">
      <alignment horizontal="right" readingOrder="0"/>
    </xf>
    <xf borderId="3" fillId="5" fontId="1" numFmtId="164" xfId="0" applyBorder="1" applyFill="1" applyFont="1" applyNumberFormat="1"/>
    <xf borderId="1" fillId="4" fontId="2" numFmtId="49" xfId="0" applyAlignment="1" applyBorder="1" applyFill="1" applyFont="1" applyNumberFormat="1">
      <alignment horizontal="right" readingOrder="0"/>
    </xf>
    <xf borderId="10" fillId="2" fontId="2" numFmtId="49" xfId="0" applyAlignment="1" applyBorder="1" applyFill="1" applyFont="1" applyNumberFormat="1">
      <alignment horizontal="center"/>
    </xf>
    <xf borderId="5" fillId="0" fontId="1" numFmtId="0" xfId="0" applyAlignment="1" applyBorder="1" applyFont="1">
      <alignment readingOrder="0"/>
    </xf>
    <xf borderId="10" fillId="0" fontId="1" numFmtId="164" xfId="0" applyBorder="1" applyFont="1" applyNumberFormat="1"/>
    <xf borderId="5" fillId="0" fontId="1" numFmtId="0" xfId="0" applyBorder="1" applyFont="1"/>
    <xf borderId="6" fillId="0" fontId="1" numFmtId="49" xfId="0" applyBorder="1" applyFont="1" applyNumberFormat="1"/>
    <xf borderId="11" fillId="0" fontId="1" numFmtId="164" xfId="0" applyBorder="1" applyFont="1" applyNumberFormat="1"/>
    <xf borderId="1" fillId="4" fontId="2" numFmtId="49" xfId="0" applyBorder="1" applyFill="1" applyFont="1" applyNumberFormat="1"/>
    <xf borderId="3" fillId="2" fontId="1" numFmtId="164" xfId="0" applyBorder="1" applyFill="1" applyFont="1" applyNumberFormat="1"/>
    <xf borderId="1" fillId="0" fontId="2" numFmtId="49" xfId="0" applyAlignment="1" applyBorder="1" applyFont="1" applyNumberFormat="1">
      <alignment horizontal="right" readingOrder="0" shrinkToFit="0" wrapText="1"/>
    </xf>
    <xf borderId="3" fillId="0" fontId="1" numFmtId="164" xfId="0" applyBorder="1" applyFont="1" applyNumberFormat="1"/>
    <xf borderId="1" fillId="0" fontId="2" numFmtId="49" xfId="0" applyAlignment="1" applyBorder="1" applyFont="1" applyNumberFormat="1">
      <alignment horizontal="right" readingOrder="0"/>
    </xf>
    <xf borderId="7" fillId="0" fontId="1" numFmtId="164" xfId="0" applyBorder="1" applyFont="1" applyNumberFormat="1"/>
    <xf borderId="12" fillId="0" fontId="1" numFmtId="164" xfId="0" applyBorder="1" applyFont="1" applyNumberFormat="1"/>
    <xf borderId="1" fillId="0" fontId="2" numFmtId="49" xfId="0" applyAlignment="1" applyBorder="1" applyFont="1" applyNumberFormat="1">
      <alignment horizontal="right"/>
    </xf>
    <xf borderId="0" fillId="0" fontId="1" numFmtId="165" xfId="0" applyFont="1" applyNumberFormat="1"/>
    <xf borderId="0" fillId="0" fontId="2" numFmtId="49" xfId="0" applyAlignment="1" applyFont="1" applyNumberFormat="1">
      <alignment horizontal="center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1.67"/>
    <col customWidth="1" min="2" max="51" width="10.78"/>
  </cols>
  <sheetData>
    <row r="1" ht="16.5" customHeight="1">
      <c r="A1" s="1"/>
      <c r="B1" s="2">
        <v>44197.0</v>
      </c>
      <c r="C1" s="3">
        <f t="shared" ref="C1:AW1" si="1">edate(B1,1)</f>
        <v>44228</v>
      </c>
      <c r="D1" s="3">
        <f t="shared" si="1"/>
        <v>44256</v>
      </c>
      <c r="E1" s="3">
        <f t="shared" si="1"/>
        <v>44287</v>
      </c>
      <c r="F1" s="3">
        <f t="shared" si="1"/>
        <v>44317</v>
      </c>
      <c r="G1" s="3">
        <f t="shared" si="1"/>
        <v>44348</v>
      </c>
      <c r="H1" s="3">
        <f t="shared" si="1"/>
        <v>44378</v>
      </c>
      <c r="I1" s="3">
        <f t="shared" si="1"/>
        <v>44409</v>
      </c>
      <c r="J1" s="3">
        <f t="shared" si="1"/>
        <v>44440</v>
      </c>
      <c r="K1" s="3">
        <f t="shared" si="1"/>
        <v>44470</v>
      </c>
      <c r="L1" s="3">
        <f t="shared" si="1"/>
        <v>44501</v>
      </c>
      <c r="M1" s="3">
        <f t="shared" si="1"/>
        <v>44531</v>
      </c>
      <c r="N1" s="3">
        <f t="shared" si="1"/>
        <v>44562</v>
      </c>
      <c r="O1" s="3">
        <f t="shared" si="1"/>
        <v>44593</v>
      </c>
      <c r="P1" s="3">
        <f t="shared" si="1"/>
        <v>44621</v>
      </c>
      <c r="Q1" s="3">
        <f t="shared" si="1"/>
        <v>44652</v>
      </c>
      <c r="R1" s="3">
        <f t="shared" si="1"/>
        <v>44682</v>
      </c>
      <c r="S1" s="3">
        <f t="shared" si="1"/>
        <v>44713</v>
      </c>
      <c r="T1" s="3">
        <f t="shared" si="1"/>
        <v>44743</v>
      </c>
      <c r="U1" s="3">
        <f t="shared" si="1"/>
        <v>44774</v>
      </c>
      <c r="V1" s="3">
        <f t="shared" si="1"/>
        <v>44805</v>
      </c>
      <c r="W1" s="3">
        <f t="shared" si="1"/>
        <v>44835</v>
      </c>
      <c r="X1" s="3">
        <f t="shared" si="1"/>
        <v>44866</v>
      </c>
      <c r="Y1" s="3">
        <f t="shared" si="1"/>
        <v>44896</v>
      </c>
      <c r="Z1" s="3">
        <f t="shared" si="1"/>
        <v>44927</v>
      </c>
      <c r="AA1" s="3">
        <f t="shared" si="1"/>
        <v>44958</v>
      </c>
      <c r="AB1" s="3">
        <f t="shared" si="1"/>
        <v>44986</v>
      </c>
      <c r="AC1" s="3">
        <f t="shared" si="1"/>
        <v>45017</v>
      </c>
      <c r="AD1" s="3">
        <f t="shared" si="1"/>
        <v>45047</v>
      </c>
      <c r="AE1" s="3">
        <f t="shared" si="1"/>
        <v>45078</v>
      </c>
      <c r="AF1" s="3">
        <f t="shared" si="1"/>
        <v>45108</v>
      </c>
      <c r="AG1" s="3">
        <f t="shared" si="1"/>
        <v>45139</v>
      </c>
      <c r="AH1" s="3">
        <f t="shared" si="1"/>
        <v>45170</v>
      </c>
      <c r="AI1" s="3">
        <f t="shared" si="1"/>
        <v>45200</v>
      </c>
      <c r="AJ1" s="3">
        <f t="shared" si="1"/>
        <v>45231</v>
      </c>
      <c r="AK1" s="3">
        <f t="shared" si="1"/>
        <v>45261</v>
      </c>
      <c r="AL1" s="3">
        <f t="shared" si="1"/>
        <v>45292</v>
      </c>
      <c r="AM1" s="3">
        <f t="shared" si="1"/>
        <v>45323</v>
      </c>
      <c r="AN1" s="3">
        <f t="shared" si="1"/>
        <v>45352</v>
      </c>
      <c r="AO1" s="3">
        <f t="shared" si="1"/>
        <v>45383</v>
      </c>
      <c r="AP1" s="3">
        <f t="shared" si="1"/>
        <v>45413</v>
      </c>
      <c r="AQ1" s="3">
        <f t="shared" si="1"/>
        <v>45444</v>
      </c>
      <c r="AR1" s="3">
        <f t="shared" si="1"/>
        <v>45474</v>
      </c>
      <c r="AS1" s="3">
        <f t="shared" si="1"/>
        <v>45505</v>
      </c>
      <c r="AT1" s="3">
        <f t="shared" si="1"/>
        <v>45536</v>
      </c>
      <c r="AU1" s="3">
        <f t="shared" si="1"/>
        <v>45566</v>
      </c>
      <c r="AV1" s="3">
        <f t="shared" si="1"/>
        <v>45597</v>
      </c>
      <c r="AW1" s="3">
        <f t="shared" si="1"/>
        <v>45627</v>
      </c>
      <c r="AX1" s="4"/>
      <c r="AY1" s="4"/>
    </row>
    <row r="2" ht="15.75" customHeight="1">
      <c r="A2" s="5" t="s">
        <v>0</v>
      </c>
      <c r="B2" s="6">
        <v>5363.0</v>
      </c>
      <c r="C2" s="7">
        <v>5500.0</v>
      </c>
      <c r="D2" s="7">
        <v>4102.0</v>
      </c>
      <c r="E2" s="6">
        <v>6013.0</v>
      </c>
      <c r="F2" s="6">
        <v>5363.0</v>
      </c>
      <c r="G2" s="6">
        <v>4578.0</v>
      </c>
      <c r="H2" s="6">
        <v>5478.0</v>
      </c>
      <c r="I2" s="6">
        <v>6013.0</v>
      </c>
      <c r="J2" s="6">
        <f t="shared" ref="J2:S2" si="2">I2*1.05</f>
        <v>6313.65</v>
      </c>
      <c r="K2" s="6">
        <f t="shared" si="2"/>
        <v>6629.3325</v>
      </c>
      <c r="L2" s="6">
        <f t="shared" si="2"/>
        <v>6960.799125</v>
      </c>
      <c r="M2" s="6">
        <f t="shared" si="2"/>
        <v>7308.839081</v>
      </c>
      <c r="N2" s="6">
        <f t="shared" si="2"/>
        <v>7674.281035</v>
      </c>
      <c r="O2" s="6">
        <f t="shared" si="2"/>
        <v>8057.995087</v>
      </c>
      <c r="P2" s="6">
        <f t="shared" si="2"/>
        <v>8460.894841</v>
      </c>
      <c r="Q2" s="6">
        <f t="shared" si="2"/>
        <v>8883.939584</v>
      </c>
      <c r="R2" s="6">
        <f t="shared" si="2"/>
        <v>9328.136563</v>
      </c>
      <c r="S2" s="6">
        <f t="shared" si="2"/>
        <v>9794.543391</v>
      </c>
      <c r="T2" s="6">
        <f t="shared" ref="T2:AW2" si="3">S2*1.01</f>
        <v>9892.488825</v>
      </c>
      <c r="U2" s="6">
        <f t="shared" si="3"/>
        <v>9991.413713</v>
      </c>
      <c r="V2" s="6">
        <f t="shared" si="3"/>
        <v>10091.32785</v>
      </c>
      <c r="W2" s="6">
        <f t="shared" si="3"/>
        <v>10192.24113</v>
      </c>
      <c r="X2" s="6">
        <f t="shared" si="3"/>
        <v>10294.16354</v>
      </c>
      <c r="Y2" s="6">
        <f t="shared" si="3"/>
        <v>10397.10518</v>
      </c>
      <c r="Z2" s="6">
        <f t="shared" si="3"/>
        <v>10501.07623</v>
      </c>
      <c r="AA2" s="6">
        <f t="shared" si="3"/>
        <v>10606.08699</v>
      </c>
      <c r="AB2" s="6">
        <f t="shared" si="3"/>
        <v>10712.14786</v>
      </c>
      <c r="AC2" s="6">
        <f t="shared" si="3"/>
        <v>10819.26934</v>
      </c>
      <c r="AD2" s="6">
        <f t="shared" si="3"/>
        <v>10927.46203</v>
      </c>
      <c r="AE2" s="6">
        <f t="shared" si="3"/>
        <v>11036.73665</v>
      </c>
      <c r="AF2" s="6">
        <f t="shared" si="3"/>
        <v>11147.10402</v>
      </c>
      <c r="AG2" s="6">
        <f t="shared" si="3"/>
        <v>11258.57506</v>
      </c>
      <c r="AH2" s="6">
        <f t="shared" si="3"/>
        <v>11371.16081</v>
      </c>
      <c r="AI2" s="6">
        <f t="shared" si="3"/>
        <v>11484.87242</v>
      </c>
      <c r="AJ2" s="6">
        <f t="shared" si="3"/>
        <v>11599.72114</v>
      </c>
      <c r="AK2" s="6">
        <f t="shared" si="3"/>
        <v>11715.71835</v>
      </c>
      <c r="AL2" s="6">
        <f t="shared" si="3"/>
        <v>11832.87554</v>
      </c>
      <c r="AM2" s="6">
        <f t="shared" si="3"/>
        <v>11951.20429</v>
      </c>
      <c r="AN2" s="6">
        <f t="shared" si="3"/>
        <v>12070.71633</v>
      </c>
      <c r="AO2" s="6">
        <f t="shared" si="3"/>
        <v>12191.4235</v>
      </c>
      <c r="AP2" s="6">
        <f t="shared" si="3"/>
        <v>12313.33773</v>
      </c>
      <c r="AQ2" s="6">
        <f t="shared" si="3"/>
        <v>12436.47111</v>
      </c>
      <c r="AR2" s="6">
        <f t="shared" si="3"/>
        <v>12560.83582</v>
      </c>
      <c r="AS2" s="6">
        <f t="shared" si="3"/>
        <v>12686.44418</v>
      </c>
      <c r="AT2" s="6">
        <f t="shared" si="3"/>
        <v>12813.30862</v>
      </c>
      <c r="AU2" s="6">
        <f t="shared" si="3"/>
        <v>12941.44171</v>
      </c>
      <c r="AV2" s="6">
        <f t="shared" si="3"/>
        <v>13070.85612</v>
      </c>
      <c r="AW2" s="6">
        <f t="shared" si="3"/>
        <v>13201.56469</v>
      </c>
      <c r="AX2" s="4"/>
      <c r="AY2" s="4"/>
    </row>
    <row r="3" ht="15.0" customHeight="1">
      <c r="A3" s="8" t="s">
        <v>1</v>
      </c>
      <c r="B3" s="9">
        <v>0.0</v>
      </c>
      <c r="C3" s="9">
        <v>0.0</v>
      </c>
      <c r="D3" s="9"/>
      <c r="E3" s="9"/>
      <c r="F3" s="9">
        <v>0.0</v>
      </c>
      <c r="G3" s="9">
        <v>0.0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4"/>
      <c r="AY3" s="4"/>
    </row>
    <row r="4" ht="16.5" customHeight="1">
      <c r="A4" s="10" t="s">
        <v>2</v>
      </c>
      <c r="B4" s="9">
        <v>0.0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f t="shared" ref="J4:AW4" si="4">-J2*0.03</f>
        <v>-189.4095</v>
      </c>
      <c r="K4" s="9">
        <f t="shared" si="4"/>
        <v>-198.879975</v>
      </c>
      <c r="L4" s="9">
        <f t="shared" si="4"/>
        <v>-208.8239738</v>
      </c>
      <c r="M4" s="9">
        <f t="shared" si="4"/>
        <v>-219.2651724</v>
      </c>
      <c r="N4" s="9">
        <f t="shared" si="4"/>
        <v>-230.2284311</v>
      </c>
      <c r="O4" s="9">
        <f t="shared" si="4"/>
        <v>-241.7398526</v>
      </c>
      <c r="P4" s="9">
        <f t="shared" si="4"/>
        <v>-253.8268452</v>
      </c>
      <c r="Q4" s="9">
        <f t="shared" si="4"/>
        <v>-266.5181875</v>
      </c>
      <c r="R4" s="9">
        <f t="shared" si="4"/>
        <v>-279.8440969</v>
      </c>
      <c r="S4" s="9">
        <f t="shared" si="4"/>
        <v>-293.8363017</v>
      </c>
      <c r="T4" s="9">
        <f t="shared" si="4"/>
        <v>-296.7746647</v>
      </c>
      <c r="U4" s="9">
        <f t="shared" si="4"/>
        <v>-299.7424114</v>
      </c>
      <c r="V4" s="9">
        <f t="shared" si="4"/>
        <v>-302.7398355</v>
      </c>
      <c r="W4" s="9">
        <f t="shared" si="4"/>
        <v>-305.7672339</v>
      </c>
      <c r="X4" s="9">
        <f t="shared" si="4"/>
        <v>-308.8249062</v>
      </c>
      <c r="Y4" s="9">
        <f t="shared" si="4"/>
        <v>-311.9131553</v>
      </c>
      <c r="Z4" s="9">
        <f t="shared" si="4"/>
        <v>-315.0322868</v>
      </c>
      <c r="AA4" s="9">
        <f t="shared" si="4"/>
        <v>-318.1826097</v>
      </c>
      <c r="AB4" s="9">
        <f t="shared" si="4"/>
        <v>-321.3644358</v>
      </c>
      <c r="AC4" s="9">
        <f t="shared" si="4"/>
        <v>-324.5780801</v>
      </c>
      <c r="AD4" s="9">
        <f t="shared" si="4"/>
        <v>-327.8238609</v>
      </c>
      <c r="AE4" s="9">
        <f t="shared" si="4"/>
        <v>-331.1020995</v>
      </c>
      <c r="AF4" s="9">
        <f t="shared" si="4"/>
        <v>-334.4131205</v>
      </c>
      <c r="AG4" s="9">
        <f t="shared" si="4"/>
        <v>-337.7572517</v>
      </c>
      <c r="AH4" s="9">
        <f t="shared" si="4"/>
        <v>-341.1348243</v>
      </c>
      <c r="AI4" s="9">
        <f t="shared" si="4"/>
        <v>-344.5461725</v>
      </c>
      <c r="AJ4" s="9">
        <f t="shared" si="4"/>
        <v>-347.9916342</v>
      </c>
      <c r="AK4" s="9">
        <f t="shared" si="4"/>
        <v>-351.4715506</v>
      </c>
      <c r="AL4" s="9">
        <f t="shared" si="4"/>
        <v>-354.9862661</v>
      </c>
      <c r="AM4" s="9">
        <f t="shared" si="4"/>
        <v>-358.5361287</v>
      </c>
      <c r="AN4" s="9">
        <f t="shared" si="4"/>
        <v>-362.12149</v>
      </c>
      <c r="AO4" s="9">
        <f t="shared" si="4"/>
        <v>-365.7427049</v>
      </c>
      <c r="AP4" s="9">
        <f t="shared" si="4"/>
        <v>-369.400132</v>
      </c>
      <c r="AQ4" s="9">
        <f t="shared" si="4"/>
        <v>-373.0941333</v>
      </c>
      <c r="AR4" s="9">
        <f t="shared" si="4"/>
        <v>-376.8250746</v>
      </c>
      <c r="AS4" s="9">
        <f t="shared" si="4"/>
        <v>-380.5933254</v>
      </c>
      <c r="AT4" s="9">
        <f t="shared" si="4"/>
        <v>-384.3992586</v>
      </c>
      <c r="AU4" s="9">
        <f t="shared" si="4"/>
        <v>-388.2432512</v>
      </c>
      <c r="AV4" s="9">
        <f t="shared" si="4"/>
        <v>-392.1256837</v>
      </c>
      <c r="AW4" s="9">
        <f t="shared" si="4"/>
        <v>-396.0469406</v>
      </c>
      <c r="AX4" s="4"/>
      <c r="AY4" s="4"/>
    </row>
    <row r="5" ht="15.0" customHeight="1">
      <c r="A5" s="8" t="s">
        <v>3</v>
      </c>
      <c r="B5" s="9">
        <v>0.0</v>
      </c>
      <c r="C5" s="9"/>
      <c r="D5" s="9"/>
      <c r="E5" s="9"/>
      <c r="F5" s="9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4"/>
      <c r="AY5" s="4"/>
    </row>
    <row r="6" ht="16.5" customHeight="1">
      <c r="A6" s="10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4"/>
      <c r="AY6" s="4"/>
    </row>
    <row r="7" ht="18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4"/>
      <c r="AY7" s="4"/>
    </row>
    <row r="8" ht="16.5" customHeight="1">
      <c r="A8" s="13" t="s">
        <v>5</v>
      </c>
      <c r="B8" s="14">
        <f t="shared" ref="B8:AW8" si="5">SUM(B2:B5)</f>
        <v>5363</v>
      </c>
      <c r="C8" s="14">
        <f t="shared" si="5"/>
        <v>5500</v>
      </c>
      <c r="D8" s="14">
        <f t="shared" si="5"/>
        <v>4102</v>
      </c>
      <c r="E8" s="14">
        <f t="shared" si="5"/>
        <v>6013</v>
      </c>
      <c r="F8" s="14">
        <f t="shared" si="5"/>
        <v>5363</v>
      </c>
      <c r="G8" s="14">
        <f t="shared" si="5"/>
        <v>4578</v>
      </c>
      <c r="H8" s="14">
        <f t="shared" si="5"/>
        <v>5478</v>
      </c>
      <c r="I8" s="14">
        <f t="shared" si="5"/>
        <v>6013</v>
      </c>
      <c r="J8" s="14">
        <f t="shared" si="5"/>
        <v>6124.2405</v>
      </c>
      <c r="K8" s="14">
        <f t="shared" si="5"/>
        <v>6430.452525</v>
      </c>
      <c r="L8" s="14">
        <f t="shared" si="5"/>
        <v>6751.975151</v>
      </c>
      <c r="M8" s="14">
        <f t="shared" si="5"/>
        <v>7089.573909</v>
      </c>
      <c r="N8" s="14">
        <f t="shared" si="5"/>
        <v>7444.052604</v>
      </c>
      <c r="O8" s="14">
        <f t="shared" si="5"/>
        <v>7816.255234</v>
      </c>
      <c r="P8" s="14">
        <f t="shared" si="5"/>
        <v>8207.067996</v>
      </c>
      <c r="Q8" s="14">
        <f t="shared" si="5"/>
        <v>8617.421396</v>
      </c>
      <c r="R8" s="14">
        <f t="shared" si="5"/>
        <v>9048.292466</v>
      </c>
      <c r="S8" s="14">
        <f t="shared" si="5"/>
        <v>9500.707089</v>
      </c>
      <c r="T8" s="14">
        <f t="shared" si="5"/>
        <v>9595.71416</v>
      </c>
      <c r="U8" s="14">
        <f t="shared" si="5"/>
        <v>9691.671302</v>
      </c>
      <c r="V8" s="14">
        <f t="shared" si="5"/>
        <v>9788.588015</v>
      </c>
      <c r="W8" s="14">
        <f t="shared" si="5"/>
        <v>9886.473895</v>
      </c>
      <c r="X8" s="14">
        <f t="shared" si="5"/>
        <v>9985.338634</v>
      </c>
      <c r="Y8" s="14">
        <f t="shared" si="5"/>
        <v>10085.19202</v>
      </c>
      <c r="Z8" s="14">
        <f t="shared" si="5"/>
        <v>10186.04394</v>
      </c>
      <c r="AA8" s="14">
        <f t="shared" si="5"/>
        <v>10287.90438</v>
      </c>
      <c r="AB8" s="14">
        <f t="shared" si="5"/>
        <v>10390.78342</v>
      </c>
      <c r="AC8" s="14">
        <f t="shared" si="5"/>
        <v>10494.69126</v>
      </c>
      <c r="AD8" s="14">
        <f t="shared" si="5"/>
        <v>10599.63817</v>
      </c>
      <c r="AE8" s="14">
        <f t="shared" si="5"/>
        <v>10705.63455</v>
      </c>
      <c r="AF8" s="14">
        <f t="shared" si="5"/>
        <v>10812.6909</v>
      </c>
      <c r="AG8" s="14">
        <f t="shared" si="5"/>
        <v>10920.81781</v>
      </c>
      <c r="AH8" s="14">
        <f t="shared" si="5"/>
        <v>11030.02598</v>
      </c>
      <c r="AI8" s="14">
        <f t="shared" si="5"/>
        <v>11140.32624</v>
      </c>
      <c r="AJ8" s="14">
        <f t="shared" si="5"/>
        <v>11251.72951</v>
      </c>
      <c r="AK8" s="14">
        <f t="shared" si="5"/>
        <v>11364.2468</v>
      </c>
      <c r="AL8" s="15">
        <f t="shared" si="5"/>
        <v>11477.88927</v>
      </c>
      <c r="AM8" s="15">
        <f t="shared" si="5"/>
        <v>11592.66816</v>
      </c>
      <c r="AN8" s="15">
        <f t="shared" si="5"/>
        <v>11708.59484</v>
      </c>
      <c r="AO8" s="15">
        <f t="shared" si="5"/>
        <v>11825.68079</v>
      </c>
      <c r="AP8" s="15">
        <f t="shared" si="5"/>
        <v>11943.9376</v>
      </c>
      <c r="AQ8" s="15">
        <f t="shared" si="5"/>
        <v>12063.37698</v>
      </c>
      <c r="AR8" s="15">
        <f t="shared" si="5"/>
        <v>12184.01075</v>
      </c>
      <c r="AS8" s="15">
        <f t="shared" si="5"/>
        <v>12305.85085</v>
      </c>
      <c r="AT8" s="15">
        <f t="shared" si="5"/>
        <v>12428.90936</v>
      </c>
      <c r="AU8" s="15">
        <f t="shared" si="5"/>
        <v>12553.19846</v>
      </c>
      <c r="AV8" s="15">
        <f t="shared" si="5"/>
        <v>12678.73044</v>
      </c>
      <c r="AW8" s="15">
        <f t="shared" si="5"/>
        <v>12805.51774</v>
      </c>
      <c r="AX8" s="4"/>
      <c r="AY8" s="4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ht="15.0" customHeight="1">
      <c r="A10" s="17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9"/>
      <c r="AX10" s="4"/>
      <c r="AY10" s="4"/>
    </row>
    <row r="11" ht="33.75" customHeight="1">
      <c r="A11" s="10" t="s">
        <v>7</v>
      </c>
      <c r="B11" s="9">
        <v>0.0</v>
      </c>
      <c r="C11" s="9">
        <v>0.0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0.0</v>
      </c>
      <c r="AO11" s="9">
        <v>0.0</v>
      </c>
      <c r="AP11" s="9">
        <v>0.0</v>
      </c>
      <c r="AQ11" s="9">
        <v>0.0</v>
      </c>
      <c r="AR11" s="9">
        <v>0.0</v>
      </c>
      <c r="AS11" s="9">
        <v>0.0</v>
      </c>
      <c r="AT11" s="9">
        <v>0.0</v>
      </c>
      <c r="AU11" s="9">
        <v>0.0</v>
      </c>
      <c r="AV11" s="9">
        <v>0.0</v>
      </c>
      <c r="AW11" s="9">
        <v>0.0</v>
      </c>
      <c r="AX11" s="4"/>
      <c r="AY11" s="4"/>
    </row>
    <row r="12" ht="15.0" customHeight="1">
      <c r="A12" s="8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4"/>
      <c r="AY12" s="4"/>
    </row>
    <row r="13" ht="15.0" customHeight="1">
      <c r="A13" s="20" t="s">
        <v>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4"/>
      <c r="AY13" s="4"/>
    </row>
    <row r="14" ht="15.0" customHeight="1">
      <c r="A14" s="20" t="s">
        <v>10</v>
      </c>
      <c r="B14" s="9">
        <v>610.45</v>
      </c>
      <c r="C14" s="9">
        <v>479.74</v>
      </c>
      <c r="D14" s="9">
        <v>217.2</v>
      </c>
      <c r="E14" s="9">
        <v>384.82</v>
      </c>
      <c r="F14" s="9">
        <v>610.45</v>
      </c>
      <c r="G14" s="9">
        <v>479.74</v>
      </c>
      <c r="H14" s="9">
        <v>217.2</v>
      </c>
      <c r="I14" s="9">
        <v>384.82</v>
      </c>
      <c r="J14" s="9">
        <f t="shared" ref="J14:AD14" si="6">average(F14:I14)*(1+RANDBETWEEN(0,1))</f>
        <v>423.0525</v>
      </c>
      <c r="K14" s="9">
        <f t="shared" si="6"/>
        <v>376.203125</v>
      </c>
      <c r="L14" s="9">
        <f t="shared" si="6"/>
        <v>350.3189063</v>
      </c>
      <c r="M14" s="9">
        <f t="shared" si="6"/>
        <v>383.5986328</v>
      </c>
      <c r="N14" s="9">
        <f t="shared" si="6"/>
        <v>383.293291</v>
      </c>
      <c r="O14" s="9">
        <f t="shared" si="6"/>
        <v>373.3534888</v>
      </c>
      <c r="P14" s="9">
        <f t="shared" si="6"/>
        <v>372.6410797</v>
      </c>
      <c r="Q14" s="9">
        <f t="shared" si="6"/>
        <v>756.4432462</v>
      </c>
      <c r="R14" s="9">
        <f t="shared" si="6"/>
        <v>942.8655528</v>
      </c>
      <c r="S14" s="9">
        <f t="shared" si="6"/>
        <v>611.3258419</v>
      </c>
      <c r="T14" s="9">
        <f t="shared" si="6"/>
        <v>670.8189301</v>
      </c>
      <c r="U14" s="9">
        <f t="shared" si="6"/>
        <v>1490.726785</v>
      </c>
      <c r="V14" s="9">
        <f t="shared" si="6"/>
        <v>1857.868555</v>
      </c>
      <c r="W14" s="9">
        <f t="shared" si="6"/>
        <v>2315.370056</v>
      </c>
      <c r="X14" s="9">
        <f t="shared" si="6"/>
        <v>1583.696082</v>
      </c>
      <c r="Y14" s="9">
        <f t="shared" si="6"/>
        <v>1811.91537</v>
      </c>
      <c r="Z14" s="9">
        <f t="shared" si="6"/>
        <v>1892.212516</v>
      </c>
      <c r="AA14" s="9">
        <f t="shared" si="6"/>
        <v>3801.597012</v>
      </c>
      <c r="AB14" s="9">
        <f t="shared" si="6"/>
        <v>2272.355245</v>
      </c>
      <c r="AC14" s="9">
        <f t="shared" si="6"/>
        <v>2444.520035</v>
      </c>
      <c r="AD14" s="9">
        <f t="shared" si="6"/>
        <v>5205.342404</v>
      </c>
      <c r="AE14" s="9">
        <v>396.76</v>
      </c>
      <c r="AF14" s="9">
        <v>396.49</v>
      </c>
      <c r="AG14" s="9">
        <v>446.83</v>
      </c>
      <c r="AH14" s="9">
        <v>484.64</v>
      </c>
      <c r="AI14" s="9">
        <v>368.18</v>
      </c>
      <c r="AJ14" s="9">
        <v>556.87</v>
      </c>
      <c r="AK14" s="9">
        <v>649.0</v>
      </c>
      <c r="AL14" s="9">
        <v>768.3</v>
      </c>
      <c r="AM14" s="9">
        <v>768.3</v>
      </c>
      <c r="AN14" s="9">
        <v>768.3</v>
      </c>
      <c r="AO14" s="9">
        <v>768.3</v>
      </c>
      <c r="AP14" s="9">
        <v>768.3</v>
      </c>
      <c r="AQ14" s="9">
        <v>768.3</v>
      </c>
      <c r="AR14" s="9">
        <v>768.3</v>
      </c>
      <c r="AS14" s="9">
        <v>768.3</v>
      </c>
      <c r="AT14" s="9">
        <v>768.3</v>
      </c>
      <c r="AU14" s="9">
        <v>768.3</v>
      </c>
      <c r="AV14" s="9">
        <v>768.3</v>
      </c>
      <c r="AW14" s="9">
        <v>768.3</v>
      </c>
      <c r="AX14" s="4"/>
      <c r="AY14" s="4"/>
    </row>
    <row r="15" ht="15.0" customHeight="1">
      <c r="A15" s="20" t="s">
        <v>11</v>
      </c>
      <c r="B15" s="9">
        <v>153.27</v>
      </c>
      <c r="C15" s="9">
        <v>135.38</v>
      </c>
      <c r="D15" s="9">
        <v>128.66</v>
      </c>
      <c r="E15" s="9">
        <v>130.47</v>
      </c>
      <c r="F15" s="9">
        <v>153.27</v>
      </c>
      <c r="G15" s="9">
        <v>135.38</v>
      </c>
      <c r="H15" s="9">
        <v>128.66</v>
      </c>
      <c r="I15" s="9">
        <v>130.47</v>
      </c>
      <c r="J15" s="9">
        <f t="shared" ref="J15:AD15" si="7">average(F15:I15)*(1+RANDBETWEEN(0,1))</f>
        <v>136.945</v>
      </c>
      <c r="K15" s="9">
        <f t="shared" si="7"/>
        <v>132.86375</v>
      </c>
      <c r="L15" s="9">
        <f t="shared" si="7"/>
        <v>132.2346875</v>
      </c>
      <c r="M15" s="9">
        <f t="shared" si="7"/>
        <v>133.1283594</v>
      </c>
      <c r="N15" s="9">
        <f t="shared" si="7"/>
        <v>267.5858984</v>
      </c>
      <c r="O15" s="9">
        <f t="shared" si="7"/>
        <v>332.9063477</v>
      </c>
      <c r="P15" s="9">
        <f t="shared" si="7"/>
        <v>432.9276465</v>
      </c>
      <c r="Q15" s="9">
        <f t="shared" si="7"/>
        <v>291.637063</v>
      </c>
      <c r="R15" s="9">
        <f t="shared" si="7"/>
        <v>662.5284778</v>
      </c>
      <c r="S15" s="9">
        <f t="shared" si="7"/>
        <v>859.9997675</v>
      </c>
      <c r="T15" s="9">
        <f t="shared" si="7"/>
        <v>561.7732387</v>
      </c>
      <c r="U15" s="9">
        <f t="shared" si="7"/>
        <v>1187.969273</v>
      </c>
      <c r="V15" s="9">
        <f t="shared" si="7"/>
        <v>1636.135379</v>
      </c>
      <c r="W15" s="9">
        <f t="shared" si="7"/>
        <v>1061.469415</v>
      </c>
      <c r="X15" s="9">
        <f t="shared" si="7"/>
        <v>2223.673653</v>
      </c>
      <c r="Y15" s="9">
        <f t="shared" si="7"/>
        <v>3054.62386</v>
      </c>
      <c r="Z15" s="9">
        <f t="shared" si="7"/>
        <v>3987.951153</v>
      </c>
      <c r="AA15" s="9">
        <f t="shared" si="7"/>
        <v>2581.92952</v>
      </c>
      <c r="AB15" s="9">
        <f t="shared" si="7"/>
        <v>5924.089093</v>
      </c>
      <c r="AC15" s="9">
        <f t="shared" si="7"/>
        <v>7774.296813</v>
      </c>
      <c r="AD15" s="9">
        <f t="shared" si="7"/>
        <v>5067.066644</v>
      </c>
      <c r="AE15" s="9">
        <v>128.1</v>
      </c>
      <c r="AF15" s="9">
        <v>133.32</v>
      </c>
      <c r="AG15" s="9">
        <v>131.73</v>
      </c>
      <c r="AH15" s="9">
        <v>137.29</v>
      </c>
      <c r="AI15" s="9">
        <v>139.77</v>
      </c>
      <c r="AJ15" s="9">
        <v>131.6</v>
      </c>
      <c r="AK15" s="9">
        <v>130.36</v>
      </c>
      <c r="AL15" s="9">
        <v>109.36</v>
      </c>
      <c r="AM15" s="9">
        <v>109.36</v>
      </c>
      <c r="AN15" s="9">
        <v>109.36</v>
      </c>
      <c r="AO15" s="9">
        <v>109.36</v>
      </c>
      <c r="AP15" s="9">
        <v>109.36</v>
      </c>
      <c r="AQ15" s="9">
        <v>109.36</v>
      </c>
      <c r="AR15" s="9">
        <v>109.36</v>
      </c>
      <c r="AS15" s="9">
        <v>109.36</v>
      </c>
      <c r="AT15" s="9">
        <v>109.36</v>
      </c>
      <c r="AU15" s="9">
        <v>109.36</v>
      </c>
      <c r="AV15" s="9">
        <v>109.36</v>
      </c>
      <c r="AW15" s="9">
        <v>109.36</v>
      </c>
      <c r="AX15" s="4"/>
      <c r="AY15" s="4"/>
    </row>
    <row r="16" ht="15.0" customHeight="1">
      <c r="A16" s="20" t="s">
        <v>12</v>
      </c>
      <c r="B16" s="9">
        <v>15.0</v>
      </c>
      <c r="C16" s="9">
        <v>15.0</v>
      </c>
      <c r="D16" s="9">
        <v>15.0</v>
      </c>
      <c r="E16" s="9">
        <v>15.0</v>
      </c>
      <c r="F16" s="9">
        <v>15.0</v>
      </c>
      <c r="G16" s="9">
        <v>15.0</v>
      </c>
      <c r="H16" s="9">
        <v>15.0</v>
      </c>
      <c r="I16" s="9">
        <v>15.0</v>
      </c>
      <c r="J16" s="9">
        <f t="shared" ref="J16:AD16" si="8">average(F16:I16)*(1+RANDBETWEEN(0,1))</f>
        <v>15</v>
      </c>
      <c r="K16" s="9">
        <f t="shared" si="8"/>
        <v>15</v>
      </c>
      <c r="L16" s="9">
        <f t="shared" si="8"/>
        <v>30</v>
      </c>
      <c r="M16" s="9">
        <f t="shared" si="8"/>
        <v>37.5</v>
      </c>
      <c r="N16" s="9">
        <f t="shared" si="8"/>
        <v>24.375</v>
      </c>
      <c r="O16" s="9">
        <f t="shared" si="8"/>
        <v>26.71875</v>
      </c>
      <c r="P16" s="9">
        <f t="shared" si="8"/>
        <v>29.6484375</v>
      </c>
      <c r="Q16" s="9">
        <f t="shared" si="8"/>
        <v>59.12109375</v>
      </c>
      <c r="R16" s="9">
        <f t="shared" si="8"/>
        <v>34.96582031</v>
      </c>
      <c r="S16" s="9">
        <f t="shared" si="8"/>
        <v>37.61352539</v>
      </c>
      <c r="T16" s="9">
        <f t="shared" si="8"/>
        <v>40.33721924</v>
      </c>
      <c r="U16" s="9">
        <f t="shared" si="8"/>
        <v>86.01882935</v>
      </c>
      <c r="V16" s="9">
        <f t="shared" si="8"/>
        <v>99.46769714</v>
      </c>
      <c r="W16" s="9">
        <f t="shared" si="8"/>
        <v>131.7186356</v>
      </c>
      <c r="X16" s="9">
        <f t="shared" si="8"/>
        <v>89.38559532</v>
      </c>
      <c r="Y16" s="9">
        <f t="shared" si="8"/>
        <v>203.2953787</v>
      </c>
      <c r="Z16" s="9">
        <f t="shared" si="8"/>
        <v>130.9668267</v>
      </c>
      <c r="AA16" s="9">
        <f t="shared" si="8"/>
        <v>138.8416091</v>
      </c>
      <c r="AB16" s="9">
        <f t="shared" si="8"/>
        <v>281.2447049</v>
      </c>
      <c r="AC16" s="9">
        <f t="shared" si="8"/>
        <v>377.1742596</v>
      </c>
      <c r="AD16" s="9">
        <f t="shared" si="8"/>
        <v>464.1137001</v>
      </c>
      <c r="AE16" s="9">
        <v>15.0</v>
      </c>
      <c r="AF16" s="9">
        <v>15.0</v>
      </c>
      <c r="AG16" s="9">
        <v>15.0</v>
      </c>
      <c r="AH16" s="9">
        <v>15.0</v>
      </c>
      <c r="AI16" s="9">
        <v>15.0</v>
      </c>
      <c r="AJ16" s="9">
        <v>15.0</v>
      </c>
      <c r="AK16" s="9">
        <v>15.0</v>
      </c>
      <c r="AL16" s="9">
        <v>15.0</v>
      </c>
      <c r="AM16" s="9">
        <v>15.0</v>
      </c>
      <c r="AN16" s="9">
        <v>15.0</v>
      </c>
      <c r="AO16" s="9">
        <v>15.0</v>
      </c>
      <c r="AP16" s="9">
        <v>15.0</v>
      </c>
      <c r="AQ16" s="9">
        <v>15.0</v>
      </c>
      <c r="AR16" s="9">
        <v>15.0</v>
      </c>
      <c r="AS16" s="9">
        <v>15.0</v>
      </c>
      <c r="AT16" s="9">
        <v>15.0</v>
      </c>
      <c r="AU16" s="9">
        <v>15.0</v>
      </c>
      <c r="AV16" s="9">
        <v>15.0</v>
      </c>
      <c r="AW16" s="9">
        <v>15.0</v>
      </c>
      <c r="AX16" s="4"/>
      <c r="AY16" s="4"/>
    </row>
    <row r="17" ht="16.5" customHeight="1">
      <c r="A17" s="21" t="s">
        <v>13</v>
      </c>
      <c r="B17" s="22">
        <f t="shared" ref="B17:AW17" si="9">subtotal(9,B11:B16)</f>
        <v>778.72</v>
      </c>
      <c r="C17" s="22">
        <f t="shared" si="9"/>
        <v>630.12</v>
      </c>
      <c r="D17" s="22">
        <f t="shared" si="9"/>
        <v>360.86</v>
      </c>
      <c r="E17" s="22">
        <f t="shared" si="9"/>
        <v>530.29</v>
      </c>
      <c r="F17" s="22">
        <f t="shared" si="9"/>
        <v>778.72</v>
      </c>
      <c r="G17" s="22">
        <f t="shared" si="9"/>
        <v>630.12</v>
      </c>
      <c r="H17" s="22">
        <f t="shared" si="9"/>
        <v>360.86</v>
      </c>
      <c r="I17" s="22">
        <f t="shared" si="9"/>
        <v>530.29</v>
      </c>
      <c r="J17" s="22">
        <f t="shared" si="9"/>
        <v>574.9975</v>
      </c>
      <c r="K17" s="22">
        <f t="shared" si="9"/>
        <v>524.066875</v>
      </c>
      <c r="L17" s="22">
        <f t="shared" si="9"/>
        <v>512.5535938</v>
      </c>
      <c r="M17" s="22">
        <f t="shared" si="9"/>
        <v>554.2269922</v>
      </c>
      <c r="N17" s="22">
        <f t="shared" si="9"/>
        <v>675.2541895</v>
      </c>
      <c r="O17" s="22">
        <f t="shared" si="9"/>
        <v>732.9785864</v>
      </c>
      <c r="P17" s="22">
        <f t="shared" si="9"/>
        <v>835.2171637</v>
      </c>
      <c r="Q17" s="22">
        <f t="shared" si="9"/>
        <v>1107.201403</v>
      </c>
      <c r="R17" s="22">
        <f t="shared" si="9"/>
        <v>1640.359851</v>
      </c>
      <c r="S17" s="22">
        <f t="shared" si="9"/>
        <v>1508.939135</v>
      </c>
      <c r="T17" s="22">
        <f t="shared" si="9"/>
        <v>1272.929388</v>
      </c>
      <c r="U17" s="22">
        <f t="shared" si="9"/>
        <v>2764.714888</v>
      </c>
      <c r="V17" s="22">
        <f t="shared" si="9"/>
        <v>3593.471631</v>
      </c>
      <c r="W17" s="22">
        <f t="shared" si="9"/>
        <v>3508.558106</v>
      </c>
      <c r="X17" s="22">
        <f t="shared" si="9"/>
        <v>3896.75533</v>
      </c>
      <c r="Y17" s="22">
        <f t="shared" si="9"/>
        <v>5069.834608</v>
      </c>
      <c r="Z17" s="22">
        <f t="shared" si="9"/>
        <v>6011.130495</v>
      </c>
      <c r="AA17" s="22">
        <f t="shared" si="9"/>
        <v>6522.368141</v>
      </c>
      <c r="AB17" s="22">
        <f t="shared" si="9"/>
        <v>8477.689042</v>
      </c>
      <c r="AC17" s="22">
        <f t="shared" si="9"/>
        <v>10595.99111</v>
      </c>
      <c r="AD17" s="22">
        <f t="shared" si="9"/>
        <v>10736.52275</v>
      </c>
      <c r="AE17" s="22">
        <f t="shared" si="9"/>
        <v>539.86</v>
      </c>
      <c r="AF17" s="22">
        <f t="shared" si="9"/>
        <v>544.81</v>
      </c>
      <c r="AG17" s="22">
        <f t="shared" si="9"/>
        <v>593.56</v>
      </c>
      <c r="AH17" s="22">
        <f t="shared" si="9"/>
        <v>636.93</v>
      </c>
      <c r="AI17" s="22">
        <f t="shared" si="9"/>
        <v>522.95</v>
      </c>
      <c r="AJ17" s="22">
        <f t="shared" si="9"/>
        <v>703.47</v>
      </c>
      <c r="AK17" s="22">
        <f t="shared" si="9"/>
        <v>794.36</v>
      </c>
      <c r="AL17" s="22">
        <f t="shared" si="9"/>
        <v>892.66</v>
      </c>
      <c r="AM17" s="22">
        <f t="shared" si="9"/>
        <v>892.66</v>
      </c>
      <c r="AN17" s="22">
        <f t="shared" si="9"/>
        <v>892.66</v>
      </c>
      <c r="AO17" s="22">
        <f t="shared" si="9"/>
        <v>892.66</v>
      </c>
      <c r="AP17" s="22">
        <f t="shared" si="9"/>
        <v>892.66</v>
      </c>
      <c r="AQ17" s="22">
        <f t="shared" si="9"/>
        <v>892.66</v>
      </c>
      <c r="AR17" s="22">
        <f t="shared" si="9"/>
        <v>892.66</v>
      </c>
      <c r="AS17" s="22">
        <f t="shared" si="9"/>
        <v>892.66</v>
      </c>
      <c r="AT17" s="22">
        <f t="shared" si="9"/>
        <v>892.66</v>
      </c>
      <c r="AU17" s="22">
        <f t="shared" si="9"/>
        <v>892.66</v>
      </c>
      <c r="AV17" s="22">
        <f t="shared" si="9"/>
        <v>892.66</v>
      </c>
      <c r="AW17" s="22">
        <f t="shared" si="9"/>
        <v>892.66</v>
      </c>
      <c r="AX17" s="4"/>
      <c r="AY17" s="4"/>
    </row>
    <row r="18" ht="15.0" customHeight="1">
      <c r="A18" s="2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4"/>
      <c r="AY18" s="4"/>
    </row>
    <row r="19" ht="16.5" customHeight="1">
      <c r="A19" s="23" t="s">
        <v>14</v>
      </c>
      <c r="B19" s="14">
        <f t="shared" ref="B19:AW19" si="10">B8-B17</f>
        <v>4584.28</v>
      </c>
      <c r="C19" s="14">
        <f t="shared" si="10"/>
        <v>4869.88</v>
      </c>
      <c r="D19" s="14">
        <f t="shared" si="10"/>
        <v>3741.14</v>
      </c>
      <c r="E19" s="14">
        <f t="shared" si="10"/>
        <v>5482.71</v>
      </c>
      <c r="F19" s="14">
        <f t="shared" si="10"/>
        <v>4584.28</v>
      </c>
      <c r="G19" s="14">
        <f t="shared" si="10"/>
        <v>3947.88</v>
      </c>
      <c r="H19" s="14">
        <f t="shared" si="10"/>
        <v>5117.14</v>
      </c>
      <c r="I19" s="14">
        <f t="shared" si="10"/>
        <v>5482.71</v>
      </c>
      <c r="J19" s="14">
        <f t="shared" si="10"/>
        <v>5549.243</v>
      </c>
      <c r="K19" s="14">
        <f t="shared" si="10"/>
        <v>5906.38565</v>
      </c>
      <c r="L19" s="14">
        <f t="shared" si="10"/>
        <v>6239.421558</v>
      </c>
      <c r="M19" s="14">
        <f t="shared" si="10"/>
        <v>6535.346917</v>
      </c>
      <c r="N19" s="14">
        <f t="shared" si="10"/>
        <v>6768.798415</v>
      </c>
      <c r="O19" s="14">
        <f t="shared" si="10"/>
        <v>7083.276648</v>
      </c>
      <c r="P19" s="14">
        <f t="shared" si="10"/>
        <v>7371.850832</v>
      </c>
      <c r="Q19" s="14">
        <f t="shared" si="10"/>
        <v>7510.219993</v>
      </c>
      <c r="R19" s="14">
        <f t="shared" si="10"/>
        <v>7407.932615</v>
      </c>
      <c r="S19" s="14">
        <f t="shared" si="10"/>
        <v>7991.767954</v>
      </c>
      <c r="T19" s="14">
        <f t="shared" si="10"/>
        <v>8322.784772</v>
      </c>
      <c r="U19" s="14">
        <f t="shared" si="10"/>
        <v>6926.956413</v>
      </c>
      <c r="V19" s="14">
        <f t="shared" si="10"/>
        <v>6195.116384</v>
      </c>
      <c r="W19" s="14">
        <f t="shared" si="10"/>
        <v>6377.915788</v>
      </c>
      <c r="X19" s="14">
        <f t="shared" si="10"/>
        <v>6088.583304</v>
      </c>
      <c r="Y19" s="14">
        <f t="shared" si="10"/>
        <v>5015.357412</v>
      </c>
      <c r="Z19" s="14">
        <f t="shared" si="10"/>
        <v>4174.913445</v>
      </c>
      <c r="AA19" s="14">
        <f t="shared" si="10"/>
        <v>3765.536239</v>
      </c>
      <c r="AB19" s="14">
        <f t="shared" si="10"/>
        <v>1913.094381</v>
      </c>
      <c r="AC19" s="14">
        <f t="shared" si="10"/>
        <v>-101.29985</v>
      </c>
      <c r="AD19" s="14">
        <f t="shared" si="10"/>
        <v>-136.8845782</v>
      </c>
      <c r="AE19" s="14">
        <f t="shared" si="10"/>
        <v>10165.77455</v>
      </c>
      <c r="AF19" s="14">
        <f t="shared" si="10"/>
        <v>10267.8809</v>
      </c>
      <c r="AG19" s="14">
        <f t="shared" si="10"/>
        <v>10327.25781</v>
      </c>
      <c r="AH19" s="14">
        <f t="shared" si="10"/>
        <v>10393.09598</v>
      </c>
      <c r="AI19" s="14">
        <f t="shared" si="10"/>
        <v>10617.37624</v>
      </c>
      <c r="AJ19" s="14">
        <f t="shared" si="10"/>
        <v>10548.25951</v>
      </c>
      <c r="AK19" s="14">
        <f t="shared" si="10"/>
        <v>10569.8868</v>
      </c>
      <c r="AL19" s="14">
        <f t="shared" si="10"/>
        <v>10585.22927</v>
      </c>
      <c r="AM19" s="14">
        <f t="shared" si="10"/>
        <v>10700.00816</v>
      </c>
      <c r="AN19" s="14">
        <f t="shared" si="10"/>
        <v>10815.93484</v>
      </c>
      <c r="AO19" s="14">
        <f t="shared" si="10"/>
        <v>10933.02079</v>
      </c>
      <c r="AP19" s="14">
        <f t="shared" si="10"/>
        <v>11051.2776</v>
      </c>
      <c r="AQ19" s="14">
        <f t="shared" si="10"/>
        <v>11170.71698</v>
      </c>
      <c r="AR19" s="14">
        <f t="shared" si="10"/>
        <v>11291.35075</v>
      </c>
      <c r="AS19" s="14">
        <f t="shared" si="10"/>
        <v>11413.19085</v>
      </c>
      <c r="AT19" s="14">
        <f t="shared" si="10"/>
        <v>11536.24936</v>
      </c>
      <c r="AU19" s="14">
        <f t="shared" si="10"/>
        <v>11660.53846</v>
      </c>
      <c r="AV19" s="14">
        <f t="shared" si="10"/>
        <v>11786.07044</v>
      </c>
      <c r="AW19" s="14">
        <f t="shared" si="10"/>
        <v>11912.85774</v>
      </c>
      <c r="AX19" s="4"/>
      <c r="AY19" s="4"/>
    </row>
    <row r="20" ht="14.25" customHeight="1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4"/>
      <c r="AY20" s="4"/>
    </row>
    <row r="21" ht="15.0" customHeight="1">
      <c r="A21" s="24" t="s">
        <v>15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9"/>
      <c r="AX21" s="4"/>
      <c r="AY21" s="4"/>
    </row>
    <row r="22" ht="15.0" customHeight="1">
      <c r="A22" s="20" t="s">
        <v>16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4"/>
      <c r="AY22" s="4"/>
    </row>
    <row r="23" ht="15.0" customHeight="1">
      <c r="A23" s="20" t="s">
        <v>17</v>
      </c>
      <c r="B23" s="9">
        <v>49.0</v>
      </c>
      <c r="C23" s="9">
        <v>49.0</v>
      </c>
      <c r="D23" s="9">
        <v>182.0</v>
      </c>
      <c r="E23" s="9">
        <v>182.0</v>
      </c>
      <c r="F23" s="9">
        <v>49.0</v>
      </c>
      <c r="G23" s="9">
        <v>49.0</v>
      </c>
      <c r="H23" s="9">
        <v>182.0</v>
      </c>
      <c r="I23" s="9">
        <v>182.0</v>
      </c>
      <c r="J23" s="9">
        <f t="shared" ref="J23:AW23" si="11">average(F23:I23)</f>
        <v>115.5</v>
      </c>
      <c r="K23" s="9">
        <f t="shared" si="11"/>
        <v>132.125</v>
      </c>
      <c r="L23" s="9">
        <f t="shared" si="11"/>
        <v>152.90625</v>
      </c>
      <c r="M23" s="9">
        <f t="shared" si="11"/>
        <v>145.6328125</v>
      </c>
      <c r="N23" s="9">
        <f t="shared" si="11"/>
        <v>136.5410156</v>
      </c>
      <c r="O23" s="9">
        <f t="shared" si="11"/>
        <v>141.8012695</v>
      </c>
      <c r="P23" s="9">
        <f t="shared" si="11"/>
        <v>144.2203369</v>
      </c>
      <c r="Q23" s="9">
        <f t="shared" si="11"/>
        <v>142.0488586</v>
      </c>
      <c r="R23" s="9">
        <f t="shared" si="11"/>
        <v>141.1528702</v>
      </c>
      <c r="S23" s="9">
        <f t="shared" si="11"/>
        <v>142.3058338</v>
      </c>
      <c r="T23" s="9">
        <f t="shared" si="11"/>
        <v>142.4319749</v>
      </c>
      <c r="U23" s="9">
        <f t="shared" si="11"/>
        <v>141.9848844</v>
      </c>
      <c r="V23" s="9">
        <f t="shared" si="11"/>
        <v>141.9688908</v>
      </c>
      <c r="W23" s="9">
        <f t="shared" si="11"/>
        <v>142.172896</v>
      </c>
      <c r="X23" s="9">
        <f t="shared" si="11"/>
        <v>142.1396615</v>
      </c>
      <c r="Y23" s="9">
        <f t="shared" si="11"/>
        <v>142.0665832</v>
      </c>
      <c r="Z23" s="9">
        <f t="shared" si="11"/>
        <v>142.0870079</v>
      </c>
      <c r="AA23" s="9">
        <f t="shared" si="11"/>
        <v>142.1165371</v>
      </c>
      <c r="AB23" s="9">
        <f t="shared" si="11"/>
        <v>142.1024474</v>
      </c>
      <c r="AC23" s="9">
        <f t="shared" si="11"/>
        <v>142.0931439</v>
      </c>
      <c r="AD23" s="9">
        <f t="shared" si="11"/>
        <v>142.0997841</v>
      </c>
      <c r="AE23" s="9">
        <f t="shared" si="11"/>
        <v>142.1029781</v>
      </c>
      <c r="AF23" s="9">
        <f t="shared" si="11"/>
        <v>142.0995884</v>
      </c>
      <c r="AG23" s="9">
        <f t="shared" si="11"/>
        <v>142.0988736</v>
      </c>
      <c r="AH23" s="9">
        <f t="shared" si="11"/>
        <v>142.1003061</v>
      </c>
      <c r="AI23" s="9">
        <f t="shared" si="11"/>
        <v>142.1004365</v>
      </c>
      <c r="AJ23" s="9">
        <f t="shared" si="11"/>
        <v>142.0998012</v>
      </c>
      <c r="AK23" s="9">
        <f t="shared" si="11"/>
        <v>142.0998543</v>
      </c>
      <c r="AL23" s="9">
        <f t="shared" si="11"/>
        <v>142.1000995</v>
      </c>
      <c r="AM23" s="9">
        <f t="shared" si="11"/>
        <v>142.1000479</v>
      </c>
      <c r="AN23" s="9">
        <f t="shared" si="11"/>
        <v>142.0999507</v>
      </c>
      <c r="AO23" s="9">
        <f t="shared" si="11"/>
        <v>142.0999881</v>
      </c>
      <c r="AP23" s="9">
        <f t="shared" si="11"/>
        <v>142.1000216</v>
      </c>
      <c r="AQ23" s="9">
        <f t="shared" si="11"/>
        <v>142.1000021</v>
      </c>
      <c r="AR23" s="9">
        <f t="shared" si="11"/>
        <v>142.0999906</v>
      </c>
      <c r="AS23" s="9">
        <f t="shared" si="11"/>
        <v>142.1000006</v>
      </c>
      <c r="AT23" s="9">
        <f t="shared" si="11"/>
        <v>142.1000037</v>
      </c>
      <c r="AU23" s="9">
        <f t="shared" si="11"/>
        <v>142.0999993</v>
      </c>
      <c r="AV23" s="9">
        <f t="shared" si="11"/>
        <v>142.0999985</v>
      </c>
      <c r="AW23" s="9">
        <f t="shared" si="11"/>
        <v>142.1000005</v>
      </c>
      <c r="AX23" s="4"/>
      <c r="AY23" s="4"/>
    </row>
    <row r="24" ht="15.0" customHeight="1">
      <c r="A24" s="20" t="s">
        <v>18</v>
      </c>
      <c r="B24" s="9">
        <v>155.91</v>
      </c>
      <c r="C24" s="9">
        <v>137.62</v>
      </c>
      <c r="D24" s="9">
        <v>176.59</v>
      </c>
      <c r="E24" s="9">
        <v>165.08</v>
      </c>
      <c r="F24" s="9">
        <v>155.91</v>
      </c>
      <c r="G24" s="9">
        <v>137.62</v>
      </c>
      <c r="H24" s="9">
        <v>176.59</v>
      </c>
      <c r="I24" s="9">
        <v>165.08</v>
      </c>
      <c r="J24" s="9">
        <f t="shared" ref="J24:AW24" si="12">average(F24:I24)</f>
        <v>158.8</v>
      </c>
      <c r="K24" s="9">
        <f t="shared" si="12"/>
        <v>159.5225</v>
      </c>
      <c r="L24" s="9">
        <f t="shared" si="12"/>
        <v>164.998125</v>
      </c>
      <c r="M24" s="9">
        <f t="shared" si="12"/>
        <v>162.1001563</v>
      </c>
      <c r="N24" s="9">
        <f t="shared" si="12"/>
        <v>161.3551953</v>
      </c>
      <c r="O24" s="9">
        <f t="shared" si="12"/>
        <v>161.9939941</v>
      </c>
      <c r="P24" s="9">
        <f t="shared" si="12"/>
        <v>162.6118677</v>
      </c>
      <c r="Q24" s="9">
        <f t="shared" si="12"/>
        <v>162.0153033</v>
      </c>
      <c r="R24" s="9">
        <f t="shared" si="12"/>
        <v>161.9940901</v>
      </c>
      <c r="S24" s="9">
        <f t="shared" si="12"/>
        <v>162.1538138</v>
      </c>
      <c r="T24" s="9">
        <f t="shared" si="12"/>
        <v>162.1937687</v>
      </c>
      <c r="U24" s="9">
        <f t="shared" si="12"/>
        <v>162.089244</v>
      </c>
      <c r="V24" s="9">
        <f t="shared" si="12"/>
        <v>162.1077292</v>
      </c>
      <c r="W24" s="9">
        <f t="shared" si="12"/>
        <v>162.1361389</v>
      </c>
      <c r="X24" s="9">
        <f t="shared" si="12"/>
        <v>162.1317202</v>
      </c>
      <c r="Y24" s="9">
        <f t="shared" si="12"/>
        <v>162.1162081</v>
      </c>
      <c r="Z24" s="9">
        <f t="shared" si="12"/>
        <v>162.1229491</v>
      </c>
      <c r="AA24" s="9">
        <f t="shared" si="12"/>
        <v>162.1267541</v>
      </c>
      <c r="AB24" s="9">
        <f t="shared" si="12"/>
        <v>162.1244079</v>
      </c>
      <c r="AC24" s="9">
        <f t="shared" si="12"/>
        <v>162.1225798</v>
      </c>
      <c r="AD24" s="9">
        <f t="shared" si="12"/>
        <v>162.1241727</v>
      </c>
      <c r="AE24" s="9">
        <f t="shared" si="12"/>
        <v>162.1244786</v>
      </c>
      <c r="AF24" s="9">
        <f t="shared" si="12"/>
        <v>162.1239097</v>
      </c>
      <c r="AG24" s="9">
        <f t="shared" si="12"/>
        <v>162.1237852</v>
      </c>
      <c r="AH24" s="9">
        <f t="shared" si="12"/>
        <v>162.1240866</v>
      </c>
      <c r="AI24" s="9">
        <f t="shared" si="12"/>
        <v>162.124065</v>
      </c>
      <c r="AJ24" s="9">
        <f t="shared" si="12"/>
        <v>162.1239616</v>
      </c>
      <c r="AK24" s="9">
        <f t="shared" si="12"/>
        <v>162.1239746</v>
      </c>
      <c r="AL24" s="9">
        <f t="shared" si="12"/>
        <v>162.124022</v>
      </c>
      <c r="AM24" s="9">
        <f t="shared" si="12"/>
        <v>162.1240058</v>
      </c>
      <c r="AN24" s="9">
        <f t="shared" si="12"/>
        <v>162.123991</v>
      </c>
      <c r="AO24" s="9">
        <f t="shared" si="12"/>
        <v>162.1239983</v>
      </c>
      <c r="AP24" s="9">
        <f t="shared" si="12"/>
        <v>162.1240043</v>
      </c>
      <c r="AQ24" s="9">
        <f t="shared" si="12"/>
        <v>162.1239999</v>
      </c>
      <c r="AR24" s="9">
        <f t="shared" si="12"/>
        <v>162.1239984</v>
      </c>
      <c r="AS24" s="9">
        <f t="shared" si="12"/>
        <v>162.1240002</v>
      </c>
      <c r="AT24" s="9">
        <f t="shared" si="12"/>
        <v>162.1240007</v>
      </c>
      <c r="AU24" s="9">
        <f t="shared" si="12"/>
        <v>162.1239998</v>
      </c>
      <c r="AV24" s="9">
        <f t="shared" si="12"/>
        <v>162.1239998</v>
      </c>
      <c r="AW24" s="9">
        <f t="shared" si="12"/>
        <v>162.1240001</v>
      </c>
      <c r="AX24" s="4"/>
      <c r="AY24" s="4"/>
    </row>
    <row r="25" ht="15.0" customHeight="1">
      <c r="A25" s="20" t="s">
        <v>19</v>
      </c>
      <c r="B25" s="9">
        <v>6.66</v>
      </c>
      <c r="C25" s="9">
        <v>6.66</v>
      </c>
      <c r="D25" s="9">
        <v>6.66</v>
      </c>
      <c r="E25" s="9">
        <v>6.66</v>
      </c>
      <c r="F25" s="9">
        <v>6.66</v>
      </c>
      <c r="G25" s="9">
        <v>6.66</v>
      </c>
      <c r="H25" s="9">
        <v>6.66</v>
      </c>
      <c r="I25" s="9">
        <v>6.66</v>
      </c>
      <c r="J25" s="9">
        <f t="shared" ref="J25:AW25" si="13">average(F25:I25)</f>
        <v>6.66</v>
      </c>
      <c r="K25" s="9">
        <f t="shared" si="13"/>
        <v>6.66</v>
      </c>
      <c r="L25" s="9">
        <f t="shared" si="13"/>
        <v>6.66</v>
      </c>
      <c r="M25" s="9">
        <f t="shared" si="13"/>
        <v>6.66</v>
      </c>
      <c r="N25" s="9">
        <f t="shared" si="13"/>
        <v>6.66</v>
      </c>
      <c r="O25" s="9">
        <f t="shared" si="13"/>
        <v>6.66</v>
      </c>
      <c r="P25" s="9">
        <f t="shared" si="13"/>
        <v>6.66</v>
      </c>
      <c r="Q25" s="9">
        <f t="shared" si="13"/>
        <v>6.66</v>
      </c>
      <c r="R25" s="9">
        <f t="shared" si="13"/>
        <v>6.66</v>
      </c>
      <c r="S25" s="9">
        <f t="shared" si="13"/>
        <v>6.66</v>
      </c>
      <c r="T25" s="9">
        <f t="shared" si="13"/>
        <v>6.66</v>
      </c>
      <c r="U25" s="9">
        <f t="shared" si="13"/>
        <v>6.66</v>
      </c>
      <c r="V25" s="9">
        <f t="shared" si="13"/>
        <v>6.66</v>
      </c>
      <c r="W25" s="9">
        <f t="shared" si="13"/>
        <v>6.66</v>
      </c>
      <c r="X25" s="9">
        <f t="shared" si="13"/>
        <v>6.66</v>
      </c>
      <c r="Y25" s="9">
        <f t="shared" si="13"/>
        <v>6.66</v>
      </c>
      <c r="Z25" s="9">
        <f t="shared" si="13"/>
        <v>6.66</v>
      </c>
      <c r="AA25" s="9">
        <f t="shared" si="13"/>
        <v>6.66</v>
      </c>
      <c r="AB25" s="9">
        <f t="shared" si="13"/>
        <v>6.66</v>
      </c>
      <c r="AC25" s="9">
        <f t="shared" si="13"/>
        <v>6.66</v>
      </c>
      <c r="AD25" s="9">
        <f t="shared" si="13"/>
        <v>6.66</v>
      </c>
      <c r="AE25" s="9">
        <f t="shared" si="13"/>
        <v>6.66</v>
      </c>
      <c r="AF25" s="9">
        <f t="shared" si="13"/>
        <v>6.66</v>
      </c>
      <c r="AG25" s="9">
        <f t="shared" si="13"/>
        <v>6.66</v>
      </c>
      <c r="AH25" s="9">
        <f t="shared" si="13"/>
        <v>6.66</v>
      </c>
      <c r="AI25" s="9">
        <f t="shared" si="13"/>
        <v>6.66</v>
      </c>
      <c r="AJ25" s="9">
        <f t="shared" si="13"/>
        <v>6.66</v>
      </c>
      <c r="AK25" s="9">
        <f t="shared" si="13"/>
        <v>6.66</v>
      </c>
      <c r="AL25" s="9">
        <f t="shared" si="13"/>
        <v>6.66</v>
      </c>
      <c r="AM25" s="9">
        <f t="shared" si="13"/>
        <v>6.66</v>
      </c>
      <c r="AN25" s="9">
        <f t="shared" si="13"/>
        <v>6.66</v>
      </c>
      <c r="AO25" s="9">
        <f t="shared" si="13"/>
        <v>6.66</v>
      </c>
      <c r="AP25" s="9">
        <f t="shared" si="13"/>
        <v>6.66</v>
      </c>
      <c r="AQ25" s="9">
        <f t="shared" si="13"/>
        <v>6.66</v>
      </c>
      <c r="AR25" s="9">
        <f t="shared" si="13"/>
        <v>6.66</v>
      </c>
      <c r="AS25" s="9">
        <f t="shared" si="13"/>
        <v>6.66</v>
      </c>
      <c r="AT25" s="9">
        <f t="shared" si="13"/>
        <v>6.66</v>
      </c>
      <c r="AU25" s="9">
        <f t="shared" si="13"/>
        <v>6.66</v>
      </c>
      <c r="AV25" s="9">
        <f t="shared" si="13"/>
        <v>6.66</v>
      </c>
      <c r="AW25" s="9">
        <f t="shared" si="13"/>
        <v>6.66</v>
      </c>
      <c r="AX25" s="4"/>
      <c r="AY25" s="4"/>
    </row>
    <row r="26" ht="15.0" customHeight="1">
      <c r="A26" s="20" t="s">
        <v>20</v>
      </c>
      <c r="B26" s="9">
        <v>10.0</v>
      </c>
      <c r="C26" s="9">
        <v>10.0</v>
      </c>
      <c r="D26" s="9">
        <v>10.0</v>
      </c>
      <c r="E26" s="9">
        <v>10.0</v>
      </c>
      <c r="F26" s="9">
        <v>10.0</v>
      </c>
      <c r="G26" s="9">
        <v>10.0</v>
      </c>
      <c r="H26" s="9">
        <v>10.0</v>
      </c>
      <c r="I26" s="9">
        <v>10.0</v>
      </c>
      <c r="J26" s="9">
        <f t="shared" ref="J26:AW26" si="14">average(F26:I26)</f>
        <v>10</v>
      </c>
      <c r="K26" s="9">
        <f t="shared" si="14"/>
        <v>10</v>
      </c>
      <c r="L26" s="9">
        <f t="shared" si="14"/>
        <v>10</v>
      </c>
      <c r="M26" s="9">
        <f t="shared" si="14"/>
        <v>10</v>
      </c>
      <c r="N26" s="9">
        <f t="shared" si="14"/>
        <v>10</v>
      </c>
      <c r="O26" s="9">
        <f t="shared" si="14"/>
        <v>10</v>
      </c>
      <c r="P26" s="9">
        <f t="shared" si="14"/>
        <v>10</v>
      </c>
      <c r="Q26" s="9">
        <f t="shared" si="14"/>
        <v>10</v>
      </c>
      <c r="R26" s="9">
        <f t="shared" si="14"/>
        <v>10</v>
      </c>
      <c r="S26" s="9">
        <f t="shared" si="14"/>
        <v>10</v>
      </c>
      <c r="T26" s="9">
        <f t="shared" si="14"/>
        <v>10</v>
      </c>
      <c r="U26" s="9">
        <f t="shared" si="14"/>
        <v>10</v>
      </c>
      <c r="V26" s="9">
        <f t="shared" si="14"/>
        <v>10</v>
      </c>
      <c r="W26" s="9">
        <f t="shared" si="14"/>
        <v>10</v>
      </c>
      <c r="X26" s="9">
        <f t="shared" si="14"/>
        <v>10</v>
      </c>
      <c r="Y26" s="9">
        <f t="shared" si="14"/>
        <v>10</v>
      </c>
      <c r="Z26" s="9">
        <f t="shared" si="14"/>
        <v>10</v>
      </c>
      <c r="AA26" s="9">
        <f t="shared" si="14"/>
        <v>10</v>
      </c>
      <c r="AB26" s="9">
        <f t="shared" si="14"/>
        <v>10</v>
      </c>
      <c r="AC26" s="9">
        <f t="shared" si="14"/>
        <v>10</v>
      </c>
      <c r="AD26" s="9">
        <f t="shared" si="14"/>
        <v>10</v>
      </c>
      <c r="AE26" s="9">
        <f t="shared" si="14"/>
        <v>10</v>
      </c>
      <c r="AF26" s="9">
        <f t="shared" si="14"/>
        <v>10</v>
      </c>
      <c r="AG26" s="9">
        <f t="shared" si="14"/>
        <v>10</v>
      </c>
      <c r="AH26" s="9">
        <f t="shared" si="14"/>
        <v>10</v>
      </c>
      <c r="AI26" s="9">
        <f t="shared" si="14"/>
        <v>10</v>
      </c>
      <c r="AJ26" s="9">
        <f t="shared" si="14"/>
        <v>10</v>
      </c>
      <c r="AK26" s="9">
        <f t="shared" si="14"/>
        <v>10</v>
      </c>
      <c r="AL26" s="9">
        <f t="shared" si="14"/>
        <v>10</v>
      </c>
      <c r="AM26" s="9">
        <f t="shared" si="14"/>
        <v>10</v>
      </c>
      <c r="AN26" s="9">
        <f t="shared" si="14"/>
        <v>10</v>
      </c>
      <c r="AO26" s="9">
        <f t="shared" si="14"/>
        <v>10</v>
      </c>
      <c r="AP26" s="9">
        <f t="shared" si="14"/>
        <v>10</v>
      </c>
      <c r="AQ26" s="9">
        <f t="shared" si="14"/>
        <v>10</v>
      </c>
      <c r="AR26" s="9">
        <f t="shared" si="14"/>
        <v>10</v>
      </c>
      <c r="AS26" s="9">
        <f t="shared" si="14"/>
        <v>10</v>
      </c>
      <c r="AT26" s="9">
        <f t="shared" si="14"/>
        <v>10</v>
      </c>
      <c r="AU26" s="9">
        <f t="shared" si="14"/>
        <v>10</v>
      </c>
      <c r="AV26" s="9">
        <f t="shared" si="14"/>
        <v>10</v>
      </c>
      <c r="AW26" s="9">
        <f t="shared" si="14"/>
        <v>10</v>
      </c>
      <c r="AX26" s="4"/>
      <c r="AY26" s="4"/>
    </row>
    <row r="27" ht="15.0" customHeight="1">
      <c r="A27" s="20" t="s">
        <v>21</v>
      </c>
      <c r="B27" s="9">
        <v>162.0</v>
      </c>
      <c r="C27" s="9">
        <v>162.0</v>
      </c>
      <c r="D27" s="9">
        <v>162.0</v>
      </c>
      <c r="E27" s="9">
        <v>162.0</v>
      </c>
      <c r="F27" s="9">
        <v>162.0</v>
      </c>
      <c r="G27" s="9">
        <v>162.0</v>
      </c>
      <c r="H27" s="9">
        <v>162.0</v>
      </c>
      <c r="I27" s="9">
        <v>162.0</v>
      </c>
      <c r="J27" s="9">
        <f t="shared" ref="J27:AW27" si="15">average(F27:I27)</f>
        <v>162</v>
      </c>
      <c r="K27" s="9">
        <f t="shared" si="15"/>
        <v>162</v>
      </c>
      <c r="L27" s="9">
        <f t="shared" si="15"/>
        <v>162</v>
      </c>
      <c r="M27" s="9">
        <f t="shared" si="15"/>
        <v>162</v>
      </c>
      <c r="N27" s="9">
        <f t="shared" si="15"/>
        <v>162</v>
      </c>
      <c r="O27" s="9">
        <f t="shared" si="15"/>
        <v>162</v>
      </c>
      <c r="P27" s="9">
        <f t="shared" si="15"/>
        <v>162</v>
      </c>
      <c r="Q27" s="9">
        <f t="shared" si="15"/>
        <v>162</v>
      </c>
      <c r="R27" s="9">
        <f t="shared" si="15"/>
        <v>162</v>
      </c>
      <c r="S27" s="9">
        <f t="shared" si="15"/>
        <v>162</v>
      </c>
      <c r="T27" s="9">
        <f t="shared" si="15"/>
        <v>162</v>
      </c>
      <c r="U27" s="9">
        <f t="shared" si="15"/>
        <v>162</v>
      </c>
      <c r="V27" s="9">
        <f t="shared" si="15"/>
        <v>162</v>
      </c>
      <c r="W27" s="9">
        <f t="shared" si="15"/>
        <v>162</v>
      </c>
      <c r="X27" s="9">
        <f t="shared" si="15"/>
        <v>162</v>
      </c>
      <c r="Y27" s="9">
        <f t="shared" si="15"/>
        <v>162</v>
      </c>
      <c r="Z27" s="9">
        <f t="shared" si="15"/>
        <v>162</v>
      </c>
      <c r="AA27" s="9">
        <f t="shared" si="15"/>
        <v>162</v>
      </c>
      <c r="AB27" s="9">
        <f t="shared" si="15"/>
        <v>162</v>
      </c>
      <c r="AC27" s="9">
        <f t="shared" si="15"/>
        <v>162</v>
      </c>
      <c r="AD27" s="9">
        <f t="shared" si="15"/>
        <v>162</v>
      </c>
      <c r="AE27" s="9">
        <f t="shared" si="15"/>
        <v>162</v>
      </c>
      <c r="AF27" s="9">
        <f t="shared" si="15"/>
        <v>162</v>
      </c>
      <c r="AG27" s="9">
        <f t="shared" si="15"/>
        <v>162</v>
      </c>
      <c r="AH27" s="9">
        <f t="shared" si="15"/>
        <v>162</v>
      </c>
      <c r="AI27" s="9">
        <f t="shared" si="15"/>
        <v>162</v>
      </c>
      <c r="AJ27" s="9">
        <f t="shared" si="15"/>
        <v>162</v>
      </c>
      <c r="AK27" s="9">
        <f t="shared" si="15"/>
        <v>162</v>
      </c>
      <c r="AL27" s="9">
        <f t="shared" si="15"/>
        <v>162</v>
      </c>
      <c r="AM27" s="9">
        <f t="shared" si="15"/>
        <v>162</v>
      </c>
      <c r="AN27" s="9">
        <f t="shared" si="15"/>
        <v>162</v>
      </c>
      <c r="AO27" s="9">
        <f t="shared" si="15"/>
        <v>162</v>
      </c>
      <c r="AP27" s="9">
        <f t="shared" si="15"/>
        <v>162</v>
      </c>
      <c r="AQ27" s="9">
        <f t="shared" si="15"/>
        <v>162</v>
      </c>
      <c r="AR27" s="9">
        <f t="shared" si="15"/>
        <v>162</v>
      </c>
      <c r="AS27" s="9">
        <f t="shared" si="15"/>
        <v>162</v>
      </c>
      <c r="AT27" s="9">
        <f t="shared" si="15"/>
        <v>162</v>
      </c>
      <c r="AU27" s="9">
        <f t="shared" si="15"/>
        <v>162</v>
      </c>
      <c r="AV27" s="9">
        <f t="shared" si="15"/>
        <v>162</v>
      </c>
      <c r="AW27" s="9">
        <f t="shared" si="15"/>
        <v>162</v>
      </c>
      <c r="AX27" s="4"/>
      <c r="AY27" s="4"/>
    </row>
    <row r="28" ht="15.0" customHeight="1">
      <c r="A28" s="20" t="s">
        <v>22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f t="shared" ref="J28:AW28" si="16">average(F28:I28)</f>
        <v>0</v>
      </c>
      <c r="K28" s="9">
        <f t="shared" si="16"/>
        <v>0</v>
      </c>
      <c r="L28" s="9">
        <f t="shared" si="16"/>
        <v>0</v>
      </c>
      <c r="M28" s="9">
        <f t="shared" si="16"/>
        <v>0</v>
      </c>
      <c r="N28" s="9">
        <f t="shared" si="16"/>
        <v>0</v>
      </c>
      <c r="O28" s="9">
        <f t="shared" si="16"/>
        <v>0</v>
      </c>
      <c r="P28" s="9">
        <f t="shared" si="16"/>
        <v>0</v>
      </c>
      <c r="Q28" s="9">
        <f t="shared" si="16"/>
        <v>0</v>
      </c>
      <c r="R28" s="9">
        <f t="shared" si="16"/>
        <v>0</v>
      </c>
      <c r="S28" s="9">
        <f t="shared" si="16"/>
        <v>0</v>
      </c>
      <c r="T28" s="9">
        <f t="shared" si="16"/>
        <v>0</v>
      </c>
      <c r="U28" s="9">
        <f t="shared" si="16"/>
        <v>0</v>
      </c>
      <c r="V28" s="9">
        <f t="shared" si="16"/>
        <v>0</v>
      </c>
      <c r="W28" s="9">
        <f t="shared" si="16"/>
        <v>0</v>
      </c>
      <c r="X28" s="9">
        <f t="shared" si="16"/>
        <v>0</v>
      </c>
      <c r="Y28" s="9">
        <f t="shared" si="16"/>
        <v>0</v>
      </c>
      <c r="Z28" s="9">
        <f t="shared" si="16"/>
        <v>0</v>
      </c>
      <c r="AA28" s="9">
        <f t="shared" si="16"/>
        <v>0</v>
      </c>
      <c r="AB28" s="9">
        <f t="shared" si="16"/>
        <v>0</v>
      </c>
      <c r="AC28" s="9">
        <f t="shared" si="16"/>
        <v>0</v>
      </c>
      <c r="AD28" s="9">
        <f t="shared" si="16"/>
        <v>0</v>
      </c>
      <c r="AE28" s="9">
        <f t="shared" si="16"/>
        <v>0</v>
      </c>
      <c r="AF28" s="9">
        <f t="shared" si="16"/>
        <v>0</v>
      </c>
      <c r="AG28" s="9">
        <f t="shared" si="16"/>
        <v>0</v>
      </c>
      <c r="AH28" s="9">
        <f t="shared" si="16"/>
        <v>0</v>
      </c>
      <c r="AI28" s="9">
        <f t="shared" si="16"/>
        <v>0</v>
      </c>
      <c r="AJ28" s="9">
        <f t="shared" si="16"/>
        <v>0</v>
      </c>
      <c r="AK28" s="9">
        <f t="shared" si="16"/>
        <v>0</v>
      </c>
      <c r="AL28" s="9">
        <f t="shared" si="16"/>
        <v>0</v>
      </c>
      <c r="AM28" s="9">
        <f t="shared" si="16"/>
        <v>0</v>
      </c>
      <c r="AN28" s="9">
        <f t="shared" si="16"/>
        <v>0</v>
      </c>
      <c r="AO28" s="9">
        <f t="shared" si="16"/>
        <v>0</v>
      </c>
      <c r="AP28" s="9">
        <f t="shared" si="16"/>
        <v>0</v>
      </c>
      <c r="AQ28" s="9">
        <f t="shared" si="16"/>
        <v>0</v>
      </c>
      <c r="AR28" s="9">
        <f t="shared" si="16"/>
        <v>0</v>
      </c>
      <c r="AS28" s="9">
        <f t="shared" si="16"/>
        <v>0</v>
      </c>
      <c r="AT28" s="9">
        <f t="shared" si="16"/>
        <v>0</v>
      </c>
      <c r="AU28" s="9">
        <f t="shared" si="16"/>
        <v>0</v>
      </c>
      <c r="AV28" s="9">
        <f t="shared" si="16"/>
        <v>0</v>
      </c>
      <c r="AW28" s="9">
        <f t="shared" si="16"/>
        <v>0</v>
      </c>
      <c r="AX28" s="4"/>
      <c r="AY28" s="4"/>
    </row>
    <row r="29" ht="15.0" customHeight="1">
      <c r="A29" s="20" t="s">
        <v>23</v>
      </c>
      <c r="B29" s="9">
        <v>253.5</v>
      </c>
      <c r="C29" s="9">
        <v>250.75</v>
      </c>
      <c r="D29" s="9">
        <v>120.0</v>
      </c>
      <c r="E29" s="9">
        <v>144.0</v>
      </c>
      <c r="F29" s="9">
        <v>253.5</v>
      </c>
      <c r="G29" s="9">
        <v>250.75</v>
      </c>
      <c r="H29" s="9">
        <v>120.0</v>
      </c>
      <c r="I29" s="9">
        <v>144.0</v>
      </c>
      <c r="J29" s="9">
        <f t="shared" ref="J29:AW29" si="17">average(F29:I29)</f>
        <v>192.0625</v>
      </c>
      <c r="K29" s="9">
        <f t="shared" si="17"/>
        <v>176.703125</v>
      </c>
      <c r="L29" s="9">
        <f t="shared" si="17"/>
        <v>158.1914063</v>
      </c>
      <c r="M29" s="9">
        <f t="shared" si="17"/>
        <v>167.7392578</v>
      </c>
      <c r="N29" s="9">
        <f t="shared" si="17"/>
        <v>173.6740723</v>
      </c>
      <c r="O29" s="9">
        <f t="shared" si="17"/>
        <v>169.0769653</v>
      </c>
      <c r="P29" s="9">
        <f t="shared" si="17"/>
        <v>167.1704254</v>
      </c>
      <c r="Q29" s="9">
        <f t="shared" si="17"/>
        <v>169.4151802</v>
      </c>
      <c r="R29" s="9">
        <f t="shared" si="17"/>
        <v>169.8341608</v>
      </c>
      <c r="S29" s="9">
        <f t="shared" si="17"/>
        <v>168.8741829</v>
      </c>
      <c r="T29" s="9">
        <f t="shared" si="17"/>
        <v>168.8234873</v>
      </c>
      <c r="U29" s="9">
        <f t="shared" si="17"/>
        <v>169.2367528</v>
      </c>
      <c r="V29" s="9">
        <f t="shared" si="17"/>
        <v>169.192146</v>
      </c>
      <c r="W29" s="9">
        <f t="shared" si="17"/>
        <v>169.0316423</v>
      </c>
      <c r="X29" s="9">
        <f t="shared" si="17"/>
        <v>169.0710071</v>
      </c>
      <c r="Y29" s="9">
        <f t="shared" si="17"/>
        <v>169.132887</v>
      </c>
      <c r="Z29" s="9">
        <f t="shared" si="17"/>
        <v>169.1069206</v>
      </c>
      <c r="AA29" s="9">
        <f t="shared" si="17"/>
        <v>169.0856143</v>
      </c>
      <c r="AB29" s="9">
        <f t="shared" si="17"/>
        <v>169.0991072</v>
      </c>
      <c r="AC29" s="9">
        <f t="shared" si="17"/>
        <v>169.1061323</v>
      </c>
      <c r="AD29" s="9">
        <f t="shared" si="17"/>
        <v>169.0994436</v>
      </c>
      <c r="AE29" s="9">
        <f t="shared" si="17"/>
        <v>169.0975743</v>
      </c>
      <c r="AF29" s="9">
        <f t="shared" si="17"/>
        <v>169.1005644</v>
      </c>
      <c r="AG29" s="9">
        <f t="shared" si="17"/>
        <v>169.1009286</v>
      </c>
      <c r="AH29" s="9">
        <f t="shared" si="17"/>
        <v>169.0996277</v>
      </c>
      <c r="AI29" s="9">
        <f t="shared" si="17"/>
        <v>169.0996738</v>
      </c>
      <c r="AJ29" s="9">
        <f t="shared" si="17"/>
        <v>169.1001986</v>
      </c>
      <c r="AK29" s="9">
        <f t="shared" si="17"/>
        <v>169.1001072</v>
      </c>
      <c r="AL29" s="9">
        <f t="shared" si="17"/>
        <v>169.0999018</v>
      </c>
      <c r="AM29" s="9">
        <f t="shared" si="17"/>
        <v>169.0999704</v>
      </c>
      <c r="AN29" s="9">
        <f t="shared" si="17"/>
        <v>169.1000445</v>
      </c>
      <c r="AO29" s="9">
        <f t="shared" si="17"/>
        <v>169.100006</v>
      </c>
      <c r="AP29" s="9">
        <f t="shared" si="17"/>
        <v>169.0999807</v>
      </c>
      <c r="AQ29" s="9">
        <f t="shared" si="17"/>
        <v>169.1000004</v>
      </c>
      <c r="AR29" s="9">
        <f t="shared" si="17"/>
        <v>169.1000079</v>
      </c>
      <c r="AS29" s="9">
        <f t="shared" si="17"/>
        <v>169.0999987</v>
      </c>
      <c r="AT29" s="9">
        <f t="shared" si="17"/>
        <v>169.0999969</v>
      </c>
      <c r="AU29" s="9">
        <f t="shared" si="17"/>
        <v>169.100001</v>
      </c>
      <c r="AV29" s="9">
        <f t="shared" si="17"/>
        <v>169.1000011</v>
      </c>
      <c r="AW29" s="9">
        <f t="shared" si="17"/>
        <v>169.0999994</v>
      </c>
      <c r="AX29" s="4"/>
      <c r="AY29" s="4"/>
    </row>
    <row r="30" ht="15.0" customHeight="1">
      <c r="A30" s="25" t="s">
        <v>24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4"/>
      <c r="AY30" s="4"/>
    </row>
    <row r="31" ht="15.0" customHeight="1">
      <c r="A31" s="2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4"/>
      <c r="AY31" s="4"/>
    </row>
    <row r="32" ht="16.5" customHeight="1">
      <c r="A32" s="28" t="s">
        <v>25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29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ht="16.5" customHeight="1">
      <c r="A33" s="30" t="s">
        <v>26</v>
      </c>
      <c r="B33" s="31">
        <f t="shared" ref="B33:AW33" si="18">SUM(B20:B32)</f>
        <v>637.07</v>
      </c>
      <c r="C33" s="31">
        <f t="shared" si="18"/>
        <v>616.03</v>
      </c>
      <c r="D33" s="31">
        <f t="shared" si="18"/>
        <v>657.25</v>
      </c>
      <c r="E33" s="31">
        <f t="shared" si="18"/>
        <v>669.74</v>
      </c>
      <c r="F33" s="31">
        <f t="shared" si="18"/>
        <v>637.07</v>
      </c>
      <c r="G33" s="31">
        <f t="shared" si="18"/>
        <v>616.03</v>
      </c>
      <c r="H33" s="31">
        <f t="shared" si="18"/>
        <v>657.25</v>
      </c>
      <c r="I33" s="31">
        <f t="shared" si="18"/>
        <v>669.74</v>
      </c>
      <c r="J33" s="31">
        <f t="shared" si="18"/>
        <v>645.0225</v>
      </c>
      <c r="K33" s="31">
        <f t="shared" si="18"/>
        <v>647.010625</v>
      </c>
      <c r="L33" s="31">
        <f t="shared" si="18"/>
        <v>654.7557813</v>
      </c>
      <c r="M33" s="31">
        <f t="shared" si="18"/>
        <v>654.1322266</v>
      </c>
      <c r="N33" s="31">
        <f t="shared" si="18"/>
        <v>650.2302832</v>
      </c>
      <c r="O33" s="31">
        <f t="shared" si="18"/>
        <v>651.532229</v>
      </c>
      <c r="P33" s="31">
        <f t="shared" si="18"/>
        <v>652.66263</v>
      </c>
      <c r="Q33" s="31">
        <f t="shared" si="18"/>
        <v>652.1393422</v>
      </c>
      <c r="R33" s="31">
        <f t="shared" si="18"/>
        <v>651.6411211</v>
      </c>
      <c r="S33" s="31">
        <f t="shared" si="18"/>
        <v>651.9938306</v>
      </c>
      <c r="T33" s="31">
        <f t="shared" si="18"/>
        <v>652.109231</v>
      </c>
      <c r="U33" s="31">
        <f t="shared" si="18"/>
        <v>651.9708812</v>
      </c>
      <c r="V33" s="31">
        <f t="shared" si="18"/>
        <v>651.928766</v>
      </c>
      <c r="W33" s="31">
        <f t="shared" si="18"/>
        <v>652.0006772</v>
      </c>
      <c r="X33" s="31">
        <f t="shared" si="18"/>
        <v>652.0023888</v>
      </c>
      <c r="Y33" s="31">
        <f t="shared" si="18"/>
        <v>651.9756783</v>
      </c>
      <c r="Z33" s="31">
        <f t="shared" si="18"/>
        <v>651.9768776</v>
      </c>
      <c r="AA33" s="31">
        <f t="shared" si="18"/>
        <v>651.9889055</v>
      </c>
      <c r="AB33" s="31">
        <f t="shared" si="18"/>
        <v>651.9859625</v>
      </c>
      <c r="AC33" s="31">
        <f t="shared" si="18"/>
        <v>651.981856</v>
      </c>
      <c r="AD33" s="31">
        <f t="shared" si="18"/>
        <v>651.9834004</v>
      </c>
      <c r="AE33" s="31">
        <f t="shared" si="18"/>
        <v>651.9850311</v>
      </c>
      <c r="AF33" s="31">
        <f t="shared" si="18"/>
        <v>651.9840625</v>
      </c>
      <c r="AG33" s="31">
        <f t="shared" si="18"/>
        <v>651.9835875</v>
      </c>
      <c r="AH33" s="31">
        <f t="shared" si="18"/>
        <v>651.9840204</v>
      </c>
      <c r="AI33" s="31">
        <f t="shared" si="18"/>
        <v>651.9841754</v>
      </c>
      <c r="AJ33" s="31">
        <f t="shared" si="18"/>
        <v>651.9839614</v>
      </c>
      <c r="AK33" s="31">
        <f t="shared" si="18"/>
        <v>651.9839362</v>
      </c>
      <c r="AL33" s="31">
        <f t="shared" si="18"/>
        <v>651.9840233</v>
      </c>
      <c r="AM33" s="31">
        <f t="shared" si="18"/>
        <v>651.9840241</v>
      </c>
      <c r="AN33" s="31">
        <f t="shared" si="18"/>
        <v>651.9839862</v>
      </c>
      <c r="AO33" s="31">
        <f t="shared" si="18"/>
        <v>651.9839925</v>
      </c>
      <c r="AP33" s="31">
        <f t="shared" si="18"/>
        <v>651.9840065</v>
      </c>
      <c r="AQ33" s="31">
        <f t="shared" si="18"/>
        <v>651.9840023</v>
      </c>
      <c r="AR33" s="31">
        <f t="shared" si="18"/>
        <v>651.9839969</v>
      </c>
      <c r="AS33" s="31">
        <f t="shared" si="18"/>
        <v>651.9839995</v>
      </c>
      <c r="AT33" s="31">
        <f t="shared" si="18"/>
        <v>651.9840013</v>
      </c>
      <c r="AU33" s="31">
        <f t="shared" si="18"/>
        <v>651.984</v>
      </c>
      <c r="AV33" s="31">
        <f t="shared" si="18"/>
        <v>651.9839994</v>
      </c>
      <c r="AW33" s="31">
        <f t="shared" si="18"/>
        <v>651.9840001</v>
      </c>
      <c r="AX33" s="4"/>
      <c r="AY33" s="4"/>
    </row>
    <row r="34" ht="36.75" customHeight="1">
      <c r="A34" s="32" t="s">
        <v>27</v>
      </c>
      <c r="B34" s="33">
        <f t="shared" ref="B34:AW34" si="19">B19-B33</f>
        <v>3947.21</v>
      </c>
      <c r="C34" s="33">
        <f t="shared" si="19"/>
        <v>4253.85</v>
      </c>
      <c r="D34" s="33">
        <f t="shared" si="19"/>
        <v>3083.89</v>
      </c>
      <c r="E34" s="33">
        <f t="shared" si="19"/>
        <v>4812.97</v>
      </c>
      <c r="F34" s="33">
        <f t="shared" si="19"/>
        <v>3947.21</v>
      </c>
      <c r="G34" s="33">
        <f t="shared" si="19"/>
        <v>3331.85</v>
      </c>
      <c r="H34" s="33">
        <f t="shared" si="19"/>
        <v>4459.89</v>
      </c>
      <c r="I34" s="33">
        <f t="shared" si="19"/>
        <v>4812.97</v>
      </c>
      <c r="J34" s="33">
        <f t="shared" si="19"/>
        <v>4904.2205</v>
      </c>
      <c r="K34" s="33">
        <f t="shared" si="19"/>
        <v>5259.375025</v>
      </c>
      <c r="L34" s="33">
        <f t="shared" si="19"/>
        <v>5584.665776</v>
      </c>
      <c r="M34" s="33">
        <f t="shared" si="19"/>
        <v>5881.21469</v>
      </c>
      <c r="N34" s="33">
        <f t="shared" si="19"/>
        <v>6118.568132</v>
      </c>
      <c r="O34" s="33">
        <f t="shared" si="19"/>
        <v>6431.744419</v>
      </c>
      <c r="P34" s="33">
        <f t="shared" si="19"/>
        <v>6719.188202</v>
      </c>
      <c r="Q34" s="33">
        <f t="shared" si="19"/>
        <v>6858.080651</v>
      </c>
      <c r="R34" s="33">
        <f t="shared" si="19"/>
        <v>6756.291494</v>
      </c>
      <c r="S34" s="33">
        <f t="shared" si="19"/>
        <v>7339.774124</v>
      </c>
      <c r="T34" s="33">
        <f t="shared" si="19"/>
        <v>7670.675541</v>
      </c>
      <c r="U34" s="33">
        <f t="shared" si="19"/>
        <v>6274.985532</v>
      </c>
      <c r="V34" s="33">
        <f t="shared" si="19"/>
        <v>5543.187618</v>
      </c>
      <c r="W34" s="33">
        <f t="shared" si="19"/>
        <v>5725.915111</v>
      </c>
      <c r="X34" s="33">
        <f t="shared" si="19"/>
        <v>5436.580915</v>
      </c>
      <c r="Y34" s="33">
        <f t="shared" si="19"/>
        <v>4363.381734</v>
      </c>
      <c r="Z34" s="33">
        <f t="shared" si="19"/>
        <v>3522.936567</v>
      </c>
      <c r="AA34" s="33">
        <f t="shared" si="19"/>
        <v>3113.547333</v>
      </c>
      <c r="AB34" s="33">
        <f t="shared" si="19"/>
        <v>1261.108419</v>
      </c>
      <c r="AC34" s="33">
        <f t="shared" si="19"/>
        <v>-753.281706</v>
      </c>
      <c r="AD34" s="33">
        <f t="shared" si="19"/>
        <v>-788.8679786</v>
      </c>
      <c r="AE34" s="33">
        <f t="shared" si="19"/>
        <v>9513.789521</v>
      </c>
      <c r="AF34" s="33">
        <f t="shared" si="19"/>
        <v>9615.896835</v>
      </c>
      <c r="AG34" s="33">
        <f t="shared" si="19"/>
        <v>9675.274219</v>
      </c>
      <c r="AH34" s="33">
        <f t="shared" si="19"/>
        <v>9741.111964</v>
      </c>
      <c r="AI34" s="33">
        <f t="shared" si="19"/>
        <v>9965.392069</v>
      </c>
      <c r="AJ34" s="33">
        <f t="shared" si="19"/>
        <v>9896.275545</v>
      </c>
      <c r="AK34" s="33">
        <f t="shared" si="19"/>
        <v>9917.902866</v>
      </c>
      <c r="AL34" s="33">
        <f t="shared" si="19"/>
        <v>9933.245247</v>
      </c>
      <c r="AM34" s="33">
        <f t="shared" si="19"/>
        <v>10048.02414</v>
      </c>
      <c r="AN34" s="33">
        <f t="shared" si="19"/>
        <v>10163.95086</v>
      </c>
      <c r="AO34" s="33">
        <f t="shared" si="19"/>
        <v>10281.0368</v>
      </c>
      <c r="AP34" s="33">
        <f t="shared" si="19"/>
        <v>10399.29359</v>
      </c>
      <c r="AQ34" s="33">
        <f t="shared" si="19"/>
        <v>10518.73297</v>
      </c>
      <c r="AR34" s="33">
        <f t="shared" si="19"/>
        <v>10639.36675</v>
      </c>
      <c r="AS34" s="33">
        <f t="shared" si="19"/>
        <v>10761.20685</v>
      </c>
      <c r="AT34" s="33">
        <f t="shared" si="19"/>
        <v>10884.26536</v>
      </c>
      <c r="AU34" s="33">
        <f t="shared" si="19"/>
        <v>11008.55446</v>
      </c>
      <c r="AV34" s="33">
        <f t="shared" si="19"/>
        <v>11134.08644</v>
      </c>
      <c r="AW34" s="33">
        <f t="shared" si="19"/>
        <v>11260.87374</v>
      </c>
      <c r="AX34" s="4"/>
      <c r="AY34" s="4"/>
    </row>
    <row r="35" ht="16.5" customHeight="1">
      <c r="A35" s="34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5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4"/>
      <c r="AY35" s="4"/>
    </row>
    <row r="36" ht="16.5" customHeight="1">
      <c r="A36" s="34" t="s">
        <v>28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5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4"/>
      <c r="AY36" s="4"/>
    </row>
    <row r="37" ht="16.5" customHeight="1">
      <c r="A37" s="34" t="s">
        <v>29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5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4"/>
      <c r="AY37" s="4"/>
    </row>
    <row r="38" ht="16.5" customHeight="1">
      <c r="A38" s="37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5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4"/>
      <c r="AY38" s="4"/>
    </row>
    <row r="39" ht="16.5" customHeight="1">
      <c r="A39" s="13" t="s">
        <v>30</v>
      </c>
      <c r="B39" s="14">
        <f t="shared" ref="B39:AW39" si="20">B34+B36-B37</f>
        <v>3947.21</v>
      </c>
      <c r="C39" s="14">
        <f t="shared" si="20"/>
        <v>4253.85</v>
      </c>
      <c r="D39" s="14">
        <f t="shared" si="20"/>
        <v>3083.89</v>
      </c>
      <c r="E39" s="14">
        <f t="shared" si="20"/>
        <v>4812.97</v>
      </c>
      <c r="F39" s="14">
        <f t="shared" si="20"/>
        <v>3947.21</v>
      </c>
      <c r="G39" s="14">
        <f t="shared" si="20"/>
        <v>3331.85</v>
      </c>
      <c r="H39" s="14">
        <f t="shared" si="20"/>
        <v>4459.89</v>
      </c>
      <c r="I39" s="14">
        <f t="shared" si="20"/>
        <v>4812.97</v>
      </c>
      <c r="J39" s="14">
        <f t="shared" si="20"/>
        <v>4904.2205</v>
      </c>
      <c r="K39" s="14">
        <f t="shared" si="20"/>
        <v>5259.375025</v>
      </c>
      <c r="L39" s="14">
        <f t="shared" si="20"/>
        <v>5584.665776</v>
      </c>
      <c r="M39" s="14">
        <f t="shared" si="20"/>
        <v>5881.21469</v>
      </c>
      <c r="N39" s="14">
        <f t="shared" si="20"/>
        <v>6118.568132</v>
      </c>
      <c r="O39" s="14">
        <f t="shared" si="20"/>
        <v>6431.744419</v>
      </c>
      <c r="P39" s="14">
        <f t="shared" si="20"/>
        <v>6719.188202</v>
      </c>
      <c r="Q39" s="14">
        <f t="shared" si="20"/>
        <v>6858.080651</v>
      </c>
      <c r="R39" s="14">
        <f t="shared" si="20"/>
        <v>6756.291494</v>
      </c>
      <c r="S39" s="14">
        <f t="shared" si="20"/>
        <v>7339.774124</v>
      </c>
      <c r="T39" s="14">
        <f t="shared" si="20"/>
        <v>7670.675541</v>
      </c>
      <c r="U39" s="14">
        <f t="shared" si="20"/>
        <v>6274.985532</v>
      </c>
      <c r="V39" s="14">
        <f t="shared" si="20"/>
        <v>5543.187618</v>
      </c>
      <c r="W39" s="14">
        <f t="shared" si="20"/>
        <v>5725.915111</v>
      </c>
      <c r="X39" s="14">
        <f t="shared" si="20"/>
        <v>5436.580915</v>
      </c>
      <c r="Y39" s="14">
        <f t="shared" si="20"/>
        <v>4363.381734</v>
      </c>
      <c r="Z39" s="14">
        <f t="shared" si="20"/>
        <v>3522.936567</v>
      </c>
      <c r="AA39" s="14">
        <f t="shared" si="20"/>
        <v>3113.547333</v>
      </c>
      <c r="AB39" s="14">
        <f t="shared" si="20"/>
        <v>1261.108419</v>
      </c>
      <c r="AC39" s="14">
        <f t="shared" si="20"/>
        <v>-753.281706</v>
      </c>
      <c r="AD39" s="14">
        <f t="shared" si="20"/>
        <v>-788.8679786</v>
      </c>
      <c r="AE39" s="14">
        <f t="shared" si="20"/>
        <v>9513.789521</v>
      </c>
      <c r="AF39" s="14">
        <f t="shared" si="20"/>
        <v>9615.896835</v>
      </c>
      <c r="AG39" s="14">
        <f t="shared" si="20"/>
        <v>9675.274219</v>
      </c>
      <c r="AH39" s="14">
        <f t="shared" si="20"/>
        <v>9741.111964</v>
      </c>
      <c r="AI39" s="14">
        <f t="shared" si="20"/>
        <v>9965.392069</v>
      </c>
      <c r="AJ39" s="14">
        <f t="shared" si="20"/>
        <v>9896.275545</v>
      </c>
      <c r="AK39" s="14">
        <f t="shared" si="20"/>
        <v>9917.902866</v>
      </c>
      <c r="AL39" s="14">
        <f t="shared" si="20"/>
        <v>9933.245247</v>
      </c>
      <c r="AM39" s="14">
        <f t="shared" si="20"/>
        <v>10048.02414</v>
      </c>
      <c r="AN39" s="14">
        <f t="shared" si="20"/>
        <v>10163.95086</v>
      </c>
      <c r="AO39" s="14">
        <f t="shared" si="20"/>
        <v>10281.0368</v>
      </c>
      <c r="AP39" s="14">
        <f t="shared" si="20"/>
        <v>10399.29359</v>
      </c>
      <c r="AQ39" s="14">
        <f t="shared" si="20"/>
        <v>10518.73297</v>
      </c>
      <c r="AR39" s="14">
        <f t="shared" si="20"/>
        <v>10639.36675</v>
      </c>
      <c r="AS39" s="14">
        <f t="shared" si="20"/>
        <v>10761.20685</v>
      </c>
      <c r="AT39" s="14">
        <f t="shared" si="20"/>
        <v>10884.26536</v>
      </c>
      <c r="AU39" s="14">
        <f t="shared" si="20"/>
        <v>11008.55446</v>
      </c>
      <c r="AV39" s="14">
        <f t="shared" si="20"/>
        <v>11134.08644</v>
      </c>
      <c r="AW39" s="14">
        <f t="shared" si="20"/>
        <v>11260.87374</v>
      </c>
      <c r="AX39" s="4"/>
      <c r="A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38"/>
      <c r="AK40" s="39"/>
      <c r="AL40" s="40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1"/>
      <c r="AL41" s="42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